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ESP32S31\"/>
    </mc:Choice>
  </mc:AlternateContent>
  <bookViews>
    <workbookView windowWidth="23410" windowHeight="15280" firstSheet="10" activeTab="16"/>
  </bookViews>
  <sheets>
    <sheet name="单任务带宽" sheetId="2" r:id="rId1"/>
    <sheet name="并行访问" sheetId="3" r:id="rId2"/>
    <sheet name="内存压测" sheetId="4" r:id="rId3"/>
    <sheet name="中断测试" sheetId="5" r:id="rId4"/>
    <sheet name="双核间IPC通信" sheetId="6" r:id="rId5"/>
    <sheet name="IIS链路测试" sheetId="7" r:id="rId6"/>
    <sheet name="录音连续性测试" sheetId="8" r:id="rId7"/>
    <sheet name="播放持续性测试" sheetId="9" r:id="rId8"/>
    <sheet name="音频链路全双工测试" sheetId="10" r:id="rId9"/>
    <sheet name="LCD PCLK上限测试" sheetId="11" r:id="rId10"/>
    <sheet name="LCD 缓冲策略" sheetId="12" r:id="rId11"/>
    <sheet name="LVGL负载" sheetId="13" r:id="rId12"/>
    <sheet name="长文本滚动测试" sheetId="14" r:id="rId13"/>
    <sheet name="LCD图像测试 " sheetId="15" r:id="rId14"/>
    <sheet name="触摸精度测试" sheetId="16" r:id="rId15"/>
    <sheet name="触摸连续轨迹测试" sheetId="17" r:id="rId16"/>
    <sheet name="触摸并发性能测试" sheetId="18" r:id="rId17"/>
  </sheets>
  <definedNames>
    <definedName name="_xlnm._FilterDatabase" localSheetId="3" hidden="1">中断测试!$A$3:$H$8</definedName>
    <definedName name="_xlnm._FilterDatabase" localSheetId="10" hidden="1">'LCD 缓冲策略'!$A$8:$H$35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<sst xmlns="http://schemas.openxmlformats.org/spreadsheetml/2006/main" count="822" uniqueCount="464">
  <si>
    <t>统一格式汇总表</t>
  </si>
  <si>
    <t>测试方向</t>
  </si>
  <si>
    <t>32 KiB</t>
  </si>
  <si>
    <t>64 KiB</t>
  </si>
  <si>
    <t>128 KiB</t>
  </si>
  <si>
    <t>片上内存读写</t>
  </si>
  <si>
    <t>片上到PSRAM</t>
  </si>
  <si>
    <t>PSRAM到片上</t>
  </si>
  <si>
    <t>PSRAM读写</t>
  </si>
  <si>
    <t>拐点证据</t>
  </si>
  <si>
    <t>PSRAM读写在32 KiB时为482.41 MiB/s，64 KiB后降至53.36 MiB/s，下降约89%；片上内存读写基本保持497 MiB/s。
片上到PSRAM，在128 KiB下降至98.32MiB/s</t>
  </si>
  <si>
    <t>结论</t>
  </si>
  <si>
    <t>CPU在参与PSRAM访问会有cache参与，cache容量大小是核心瓶颈。对于后续开发需要进行psram的大数据搬运工作可能存在一定的性能瓶颈</t>
  </si>
  <si>
    <t>冲突项</t>
  </si>
  <si>
    <t>D1 Core1 PSRAM读写（Flash并行）</t>
  </si>
  <si>
    <t>spi总线以及cache竞争</t>
  </si>
  <si>
    <t>和基线相比带宽具有较为明显的下降</t>
  </si>
  <si>
    <t>D2 Core0 片上内存读写 D2 Core1 片上内存读写</t>
  </si>
  <si>
    <t>共享SRAM资源竞争</t>
  </si>
  <si>
    <t>core0:495.3</t>
  </si>
  <si>
    <t>core0:496.42</t>
  </si>
  <si>
    <t>资源分配失败</t>
  </si>
  <si>
    <t>双核同时共享RAM带宽并无明显影响</t>
  </si>
  <si>
    <t>core1:495.41</t>
  </si>
  <si>
    <t>core1:496.65</t>
  </si>
  <si>
    <t>D3 Core0 PSRAM读写 D3 Core1 PSRAM读写</t>
  </si>
  <si>
    <t>PSRAM控制器共享带宽</t>
  </si>
  <si>
    <t>双核同时读写PSRAM时，两核心带宽均约31.4 MiB/s，合计约62.8 MiB/s；共享带宽被均分</t>
  </si>
  <si>
    <t>D4 Core0 PSRAM读写 D4 Core1 片上内存读写</t>
  </si>
  <si>
    <t>PSRAM访问与片上内存访问相互影响</t>
  </si>
  <si>
    <t>PSRAM大块访问从481.91降至53.35 MiB/s，片上内存保持约496~497 MiB/s；结果和基线保持一致，证明两条链路相对独立</t>
  </si>
  <si>
    <t>D5 Core0 片上内存写入 D5 Core1 片上内存写入</t>
  </si>
  <si>
    <t>PSRAM写带宽与双核共享访问</t>
  </si>
  <si>
    <t>双核写入PSRAM在32 KiB时接近高速水平，64 KiB后降至约49.2 MiB/s/核；受PSRAM写带宽限制</t>
  </si>
  <si>
    <t xml:space="preserve"> 已运行时间</t>
  </si>
  <si>
    <t>内部 RAM 空闲</t>
  </si>
  <si>
    <t>内部 RAM 最大连续块</t>
  </si>
  <si>
    <t>PSRAM 空闲</t>
  </si>
  <si>
    <t>PSRAM 最大连续块</t>
  </si>
  <si>
    <t>0 h</t>
  </si>
  <si>
    <t>0.5 h</t>
  </si>
  <si>
    <t>4 h</t>
  </si>
  <si>
    <t>8 h</t>
  </si>
  <si>
    <t>12 h</t>
  </si>
  <si>
    <t>14.37 h</t>
  </si>
  <si>
    <t>长时间运行RAM以及PSRAM空间并无碎片化</t>
  </si>
  <si>
    <t>SYS-03B GPTimer 中断频率与周期稳定性测试</t>
  </si>
  <si>
    <t>测试频率 (Hz)</t>
  </si>
  <si>
    <t>设定周期 (µs)</t>
  </si>
  <si>
    <t>实测频率 (Hz)</t>
  </si>
  <si>
    <t>周期平均 (µs)</t>
  </si>
  <si>
    <t>最小周期 (µs)</t>
  </si>
  <si>
    <t>最大周期 (µs)</t>
  </si>
  <si>
    <t>抖动峰峰值 (µs)</t>
  </si>
  <si>
    <t>1 秒中断次数</t>
  </si>
  <si>
    <t>频率准确性</t>
  </si>
  <si>
    <t>1 kHz～100 kHz 的实测频率均与设定值一致，未发现丢中断。</t>
  </si>
  <si>
    <t>稳定工作区间</t>
  </si>
  <si>
    <t>1 kHz～20 kHz 时周期抖动为 0 µs（当前 1 µs 时间戳分辨率下）。</t>
  </si>
  <si>
    <t>高频拐点</t>
  </si>
  <si>
    <t>50 kHz 开始出现 2 µs 抖动；100 kHz 出现 5～18 µs 周期波动，抖动峰峰值最大为 13 µs。</t>
  </si>
  <si>
    <t>工程判断</t>
  </si>
  <si>
    <t>100 kHz 仍能维持平均 10 µs 周期，但实时性裕量明显下降，应将 50 kHz 以上视为高压场景。</t>
  </si>
  <si>
    <t>测试说明</t>
  </si>
  <si>
    <t>本结果为空载基线；时间由 esp_timer_get_time() 以微秒记录，不能反映小于 1 µs 的抖动，也未覆盖 Wi-Fi、Flash/PSRAM 和高 CPU 负载。</t>
  </si>
  <si>
    <t>SYS-03C 双核间 IPC 通信</t>
  </si>
  <si>
    <t>测试条件：Core0 发送，Core1 接收；队列长度 64；统计窗口 5 s</t>
  </si>
  <si>
    <t>周期（µs）</t>
  </si>
  <si>
    <t>发送包数据</t>
  </si>
  <si>
    <t>接收延迟（µs）</t>
  </si>
  <si>
    <t>错误率</t>
  </si>
  <si>
    <t>200 µs及以上稳定；100 µs为首错点；50 µs队列饱和。</t>
  </si>
  <si>
    <t>IIS 链路性能测试</t>
  </si>
  <si>
    <t>ES8389, 16-bit位宽, full duplex I2S, 采用APLL给MCLK时钟源. 每一组实验运行30s. 记录实测TX\RX采集的频率以及接口读取失败次数
测试收发主要通过IIS回环读写测试</t>
  </si>
  <si>
    <t>固定48Mhz采样率提高块时长，观测iis链路稳定性
块时长反应调用IIS读取接口速率 块时长=采样率/BLOCK_FRAMES
块时长约短代表每次处理的音频数据量变小，但处理音频的数据精度更高，但同样CPU的负载也会提高，因此可能引发看门狗中断</t>
  </si>
  <si>
    <t>BLOCK_FRAMES</t>
  </si>
  <si>
    <t>块时长</t>
  </si>
  <si>
    <t>Calls_per_s</t>
  </si>
  <si>
    <t>TX实测(Hz)</t>
  </si>
  <si>
    <t>RX实测(Hz)</t>
  </si>
  <si>
    <t>IIS写时长（us）</t>
  </si>
  <si>
    <t>IIS读时长</t>
  </si>
  <si>
    <t>看门狗中断</t>
  </si>
  <si>
    <t>RW_errors</t>
  </si>
  <si>
    <t>Result</t>
  </si>
  <si>
    <t>触发</t>
  </si>
  <si>
    <t>Unstable: rate about 24 kHz</t>
  </si>
  <si>
    <t>Boundary: rate drops and WDT triggers</t>
  </si>
  <si>
    <t>No</t>
  </si>
  <si>
    <t>Stable</t>
  </si>
  <si>
    <t>BLOCK_FRAMES在1的情况下块时长过短，导致实际采样的TX RX的偏差相较于48KHz采样有所失真</t>
  </si>
  <si>
    <t>固定10 ms块时长采样率稳定性</t>
  </si>
  <si>
    <t>采样率(Hz)</t>
  </si>
  <si>
    <t>块时长(ms)</t>
  </si>
  <si>
    <t>吞吐(KiB/s)</t>
  </si>
  <si>
    <t>cpu负载</t>
  </si>
  <si>
    <t>写入错误/读取错误</t>
  </si>
  <si>
    <t>MCLK时钟</t>
  </si>
  <si>
    <t>APLL OK</t>
  </si>
  <si>
    <t>Pass</t>
  </si>
  <si>
    <t>N/A</t>
  </si>
  <si>
    <t>APLL超过上限；未运行</t>
  </si>
  <si>
    <t>Fail: clock generation</t>
  </si>
  <si>
    <t>IIS/CPU</t>
  </si>
  <si>
    <t>16～96 kHz均无读写错误，96 kHz吞吐约375 KiB/s且app_cpu仅1.15%；IIS数据交互不是CPU瓶颈。</t>
  </si>
  <si>
    <t>时钟边界</t>
  </si>
  <si>
    <t>192 kHz在MCLK=384配置下要求APLL超过上限，失败原因是时钟生成能力而非Codec标称采样率。</t>
  </si>
  <si>
    <t>工程建议</t>
  </si>
  <si>
    <t>应根据目标采样率动态选择可用MCLK倍频，并在超过APLL能力时降采样率或调整MCLK；同时用示波器验证WS/BCLK。</t>
  </si>
  <si>
    <t>录音连续性测试</t>
  </si>
  <si>
    <t>通过周期内调用 esp_codec_dev_read 实现录音，验证连续录音场景下的链路稳定性。</t>
  </si>
  <si>
    <t>测试一：采样率压力测试（增益 20 dB，持续 30 s，办公室环境约 48 dB）</t>
  </si>
  <si>
    <t>采样率</t>
  </si>
  <si>
    <t>实际采样频率</t>
  </si>
  <si>
    <t>左右声道信号有效值</t>
  </si>
  <si>
    <t>录音失败次数</t>
  </si>
  <si>
    <t>左右声道削波次数</t>
  </si>
  <si>
    <t>48K</t>
  </si>
  <si>
    <t>48040.8 Hz</t>
  </si>
  <si>
    <t>54.0/66.2</t>
  </si>
  <si>
    <t>0</t>
  </si>
  <si>
    <t>88.2K</t>
  </si>
  <si>
    <t>88243.7 Hz</t>
  </si>
  <si>
    <t>40.2/46.5</t>
  </si>
  <si>
    <t>96K</t>
  </si>
  <si>
    <t>96042.5 Hz</t>
  </si>
  <si>
    <t>40.3/41.7</t>
  </si>
  <si>
    <t>192K（APLL 超过分频值）</t>
  </si>
  <si>
    <t>测试二：固定 48 kHz 采样率，提高块时长（增益 20 dB，持续 30 s，办公室环境约 48 dB）</t>
  </si>
  <si>
    <t>16</t>
  </si>
  <si>
    <t>48034.2 Hz</t>
  </si>
  <si>
    <t>20.9/22.1</t>
  </si>
  <si>
    <t>32</t>
  </si>
  <si>
    <t>48029.2 Hz</t>
  </si>
  <si>
    <t>34.2/35.4</t>
  </si>
  <si>
    <t>64</t>
  </si>
  <si>
    <t>48146.5 Hz</t>
  </si>
  <si>
    <t>28.6/30.2</t>
  </si>
  <si>
    <t>128</t>
  </si>
  <si>
    <t>48052.7 Hz</t>
  </si>
  <si>
    <t>24.0/25.6</t>
  </si>
  <si>
    <t>256</t>
  </si>
  <si>
    <t>48171.7 Hz</t>
  </si>
  <si>
    <t>22.4/24.5</t>
  </si>
  <si>
    <t>480</t>
  </si>
  <si>
    <t>512</t>
  </si>
  <si>
    <t>48048.6 Hz</t>
  </si>
  <si>
    <t>21.7/22.5</t>
  </si>
  <si>
    <t>1024</t>
  </si>
  <si>
    <t>48063.0 Hz</t>
  </si>
  <si>
    <t>22.1/23.1</t>
  </si>
  <si>
    <t>在办公室环境下，不断提高采样频率（48k/88.2k/96k）的 30 s 录音均未出现录音失败，连续性较好；嘈杂环境下偶发削波现象，但始终未出现读取错误，录音连续性较好，得益于 IIS 通路良好性能。（测试三 12 h 数据待补充）</t>
  </si>
  <si>
    <t>播放持续性测试</t>
  </si>
  <si>
    <t>测试方法：双麦输出 1 kHz 测试正弦波，观测 esp_codec_dev_write 失败次数，评估播放可持续性；固定采样率 48 kHz，改变块时长。</t>
  </si>
  <si>
    <t>播放失败次数</t>
  </si>
  <si>
    <t>48044.0 Hz</t>
  </si>
  <si>
    <t>48925.8 Hz</t>
  </si>
  <si>
    <t>48139.3 Hz</t>
  </si>
  <si>
    <t>播放链路在 BLOCK_FRAMES=16～1024 下播放失败次数均为 0，实际采样频率稳定在约 48 kHz，未发现播放持续性问题，写出接口未出现任何失败。</t>
  </si>
  <si>
    <t>音频链路全双工测试</t>
  </si>
  <si>
    <t>通过双核同时录音与播放模拟真实通话场景，检验 Codec 与 I2S 总线在"边录边放"高负载下的稳定性。
Core 0：播放任务；Core 1：录音任务。位宽 16 bit，修改采样频率与块时长，观测全双工负载下是否出现读写错误。</t>
  </si>
  <si>
    <t>测试一：固定采样频率 48 kHz，不断缩小块时长</t>
  </si>
  <si>
    <t>rx_rate (Hz)</t>
  </si>
  <si>
    <t>tx_rate (Hz)</t>
  </si>
  <si>
    <t>rx_err</t>
  </si>
  <si>
    <t>tx_err</t>
  </si>
  <si>
    <t>48063.7</t>
  </si>
  <si>
    <t>48061.5</t>
  </si>
  <si>
    <t>48011.0</t>
  </si>
  <si>
    <t>48005.1</t>
  </si>
  <si>
    <t>48061.6</t>
  </si>
  <si>
    <t>48011.2</t>
  </si>
  <si>
    <t>48093.8</t>
  </si>
  <si>
    <t>48017.7</t>
  </si>
  <si>
    <t>48001.3</t>
  </si>
  <si>
    <t>48051.8</t>
  </si>
  <si>
    <t>48088.2</t>
  </si>
  <si>
    <t>48046.2</t>
  </si>
  <si>
    <t>48059.8</t>
  </si>
  <si>
    <t>48005.3</t>
  </si>
  <si>
    <t>48056.3</t>
  </si>
  <si>
    <t>48019.3</t>
  </si>
  <si>
    <t>测试二：固定 BLOCK_FRAMES，不断提高采样频率</t>
  </si>
  <si>
    <t>采样率 (Hz)</t>
  </si>
  <si>
    <t>→ 原表仅保留此标题，未记录数据，结果待补充。</t>
  </si>
  <si>
    <t>测试一（全双工）：BLOCK_FRAMES=16～1024 时 rx/tx 均稳定在约 48 kHz 附近，rx_err/tx_err 全部为 0，"边录边放"未出现读写错误，全双工音频链路在不同块时长下均稳定；测试二（提高采样率）数据待补充。</t>
  </si>
  <si>
    <t>LCD PCLK 上限测试结果</t>
  </si>
  <si>
    <t>目的：评估 LCD PCLK 在纯硬件显示链路与 LVGL 全屏刷新场景下的稳定工作范围。</t>
  </si>
  <si>
    <t>测试一：纯硬件显示链路极限</t>
  </si>
  <si>
    <t>刷新周期</t>
  </si>
  <si>
    <t>PCLK（MHz）</t>
  </si>
  <si>
    <t>显示状态</t>
  </si>
  <si>
    <t>异常说明</t>
  </si>
  <si>
    <t>1 s</t>
  </si>
  <si>
    <t>18</t>
  </si>
  <si>
    <t>正常</t>
  </si>
  <si>
    <t/>
  </si>
  <si>
    <t>20</t>
  </si>
  <si>
    <t>22</t>
  </si>
  <si>
    <t>24</t>
  </si>
  <si>
    <t>26</t>
  </si>
  <si>
    <t>28</t>
  </si>
  <si>
    <t>30</t>
  </si>
  <si>
    <t>40</t>
  </si>
  <si>
    <t>50</t>
  </si>
  <si>
    <t>56</t>
  </si>
  <si>
    <t>异常</t>
  </si>
  <si>
    <t>黑屏</t>
  </si>
  <si>
    <t>判定标准：画面无黑屏、花屏、彩条或其他明显显示异常。</t>
  </si>
  <si>
    <t>测试二：LVGL 全屏刷新综合压力测试</t>
  </si>
  <si>
    <t>测试条件：16 bit 色深、单缓冲、40 个区块；每 16 ms 触发一次 LVGL 全屏刷新。</t>
  </si>
  <si>
    <t>平均 flush 完成能力（原始值）</t>
  </si>
  <si>
    <t>16 ms</t>
  </si>
  <si>
    <t>342</t>
  </si>
  <si>
    <t>异常：短暂横条</t>
  </si>
  <si>
    <t>说明：平均 flush 完成能力沿用原始测试记录（342），用于反映 LVGL+DMA 将渲染数据搬运至 LCD 的处理能力；该数值未标注独立物理单位。</t>
  </si>
  <si>
    <t>结论与优化建议</t>
  </si>
  <si>
    <t>纯硬件稳定上限</t>
  </si>
  <si>
    <t>约 50 MHz</t>
  </si>
  <si>
    <t>18～50 MHz 未观察到明显异常；56 MHz 出现黑屏。</t>
  </si>
  <si>
    <t>综合压力测试</t>
  </si>
  <si>
    <t>18～50 MHz 均异常</t>
  </si>
  <si>
    <t>提高 PCLK 对画面改善有限，均出现短暂横条。</t>
  </si>
  <si>
    <t>主要瓶颈</t>
  </si>
  <si>
    <t>PSRAM→PSRAM 数据拷贝与 LVGL 全屏渲染耗时较长；单缓冲下可能发生读写重叠。</t>
  </si>
  <si>
    <t>建议</t>
  </si>
  <si>
    <t>启用双缓冲并优化刷新策略；实际产品中尽量避免连续高负载全屏刷新。</t>
  </si>
  <si>
    <t>LCD 缓冲策略对比</t>
  </si>
  <si>
    <t>测试基线：800×480、RGB565、PCLK=18 MHz、LVGL 定时周期=16 ms、移动对象=24；原始记录保留，结论按当前代码统计口径修正。</t>
  </si>
  <si>
    <t>关键结论</t>
  </si>
  <si>
    <t>单帧局部刷新内存效率最高，但始终存在扫描与写入竞争导致的撕裂风险；DRAW_BUF_DOUBLE 只增加 LVGL 局部 buffer，当前数据未显示明显吞吐收益；双帧 Direct 画面完整性最好，但约占用 1.5 MB PSRAM。PSRAM Draw Buffer 目前缺少同条件数值，不能把机制推断当成已验证结论。</t>
  </si>
  <si>
    <t>统计口径：Partial 模式的 PERF fps≈局部 flush 次数/s，不是完整帧率；avg_flush_us 主要反映 flush 及 Draw Buffer→LCD Framebuffer 的处理时间，不等于 LCD 完整扫描时间。</t>
  </si>
  <si>
    <t>一、单帧缓冲 + LVGL Partial：Draw Buffer 在内部 RAM，DRAW_BUF_DOUBLE=n</t>
  </si>
  <si>
    <t>Draw Buffer 预计内存 = 800 × DRAW_BUF_LINES × 2 字节；下表的“视觉观察”沿用现场记录，不将其误写成完整帧 FPS。</t>
  </si>
  <si>
    <t>DRAW_BUF_LINES</t>
  </si>
  <si>
    <t>预计 Draw Buffer 内存</t>
  </si>
  <si>
    <t>avg_flush_us</t>
  </si>
  <si>
    <t>PERF fps</t>
  </si>
  <si>
    <t>剩余 heap</t>
  </si>
  <si>
    <t>运行状态</t>
  </si>
  <si>
    <t>撕裂程度（原记录）</t>
  </si>
  <si>
    <t>备注</t>
  </si>
  <si>
    <t>15.6 KiB</t>
  </si>
  <si>
    <t>WDT（数据无效）</t>
  </si>
  <si>
    <t>—</t>
  </si>
  <si>
    <t>原记录：触发看门狗</t>
  </si>
  <si>
    <t>31.3 KiB</t>
  </si>
  <si>
    <t>部分数据</t>
  </si>
  <si>
    <t>强（撕裂明显）</t>
  </si>
  <si>
    <t>avg_flush_us 未记录</t>
  </si>
  <si>
    <t>62.5 KiB</t>
  </si>
  <si>
    <t>可运行</t>
  </si>
  <si>
    <t>单局部 buffer</t>
  </si>
  <si>
    <t>125.0 KiB</t>
  </si>
  <si>
    <t>一般</t>
  </si>
  <si>
    <t>250.0 KiB</t>
  </si>
  <si>
    <t>仍有撕裂风险</t>
  </si>
  <si>
    <t>大 buffer 未提升吞吐</t>
  </si>
  <si>
    <t>375.0 KiB</t>
  </si>
  <si>
    <t>分配失败</t>
  </si>
  <si>
    <t>连续 DMA 内存不足或碎片化</t>
  </si>
  <si>
    <t>结论：本组负载下，40～80 行是较实际的可运行区间。增大 DRAW_BUF_LINES 只会减少理论分块次数，却线性增加内存占用；实测 avg_flush_us 随行数增加而上升，240 行直接分配失败。单帧 framebuffer 的撕裂风险不会因 Draw Buffer 变大而消失。</t>
  </si>
  <si>
    <t>二、单帧缓冲 + LVGL Partial：Draw Buffer 在 PSRAM，DRAW_BUF_DOUBLE=n</t>
  </si>
  <si>
    <t>会形成 PSRAM Draw Buffer→PSRAM LCD Framebuffer 的 CPU 拷贝。</t>
  </si>
  <si>
    <t>结论：触发看门狗复位，分析是由于psram到psram的带宽较低，导致占用了过多的没有及时触发喂狗，从而触发看门狗中断</t>
  </si>
  <si>
    <t>三、单帧缓冲 + LVGL Partial：Draw Buffer 在内部 RAM，DRAW_BUF_DOUBLE=y</t>
  </si>
  <si>
    <t>双局部 buffer 的预计内存约为单 buffer 的 2 倍；它可能改善 CPU 绘制与 DMA 搬运的流水线，但不改变单帧 framebuffer 的撕裂根因。</t>
  </si>
  <si>
    <t>预计两块 Draw Buffer 内存</t>
  </si>
  <si>
    <t>与表一 40 行内存量相当</t>
  </si>
  <si>
    <t>与单 buffer 40 行接近</t>
  </si>
  <si>
    <t>与单 buffer 80 行接近</t>
  </si>
  <si>
    <t>500.0 KiB</t>
  </si>
  <si>
    <t>原记录：分配失败</t>
  </si>
  <si>
    <t>结论：在DRAW_BUF_DOUBLE=n/y 的 avg_flush_us 与 partial flush/s 几乎一致（40 行：3693/339.4 对 3699/342.52；80 行：7121/174 对 7118/176.99）。当前数据未体现明显吞吐增益，但内存约翻倍，因此本负载下性价比有限；</t>
  </si>
  <si>
    <t>四、双帧缓冲 + LVGL Direct</t>
  </si>
  <si>
    <t>两块完整 RGB565 framebuffer：800×480×2×2 ≈ 1.5 MB；LVGL 直接渲染到当前帧，完成后切换显示帧。此模式的 PERF fps 才更接近完整帧完成率。</t>
  </si>
  <si>
    <t>PCLK</t>
  </si>
  <si>
    <t>完整 framebuffer 内存</t>
  </si>
  <si>
    <t>PERF fps（完整帧口径）</t>
  </si>
  <si>
    <t>画面效果</t>
  </si>
  <si>
    <t>主要瓶颈判断</t>
  </si>
  <si>
    <t>适用场景</t>
  </si>
  <si>
    <t>18 MHz</t>
  </si>
  <si>
    <t>约 1.5 MB PSRAM</t>
  </si>
  <si>
    <t>撕裂明显改善</t>
  </si>
  <si>
    <t>LVGL Direct/PSRAM 访问</t>
  </si>
  <si>
    <t>画面完整性优先</t>
  </si>
  <si>
    <t>实测</t>
  </si>
  <si>
    <t>24 MHz</t>
  </si>
  <si>
    <t>结论：18 MHz 与 24 MHz 均约 29 fps，说明在这组 LVGL 负载和实现下，提高 PCLK 没有带来可见帧率收益；当前更可能受 LVGL 整帧软件渲染、PSRAM 读写带宽或调度限制。</t>
  </si>
  <si>
    <t>五、选型建议与下一步</t>
  </si>
  <si>
    <t>资源优先：Single + Partial，建议从 40～80 行、内部 DMA RAM 开始；
画面完整性优先：Double + Direct；DRAW_BUF_DOUBLE 作为有条件的流水线实验项；只有内部连续 DMA RAM 不足时，再把 Draw Buffer 放到 PSRAM，并单独报告其 PSRAM→PSRAM 拷贝代价。</t>
  </si>
  <si>
    <t>LVGL负载测试汇总</t>
  </si>
  <si>
    <t>基线：800×480 RGB565 LCD，PCLK=18 MHz，LVGL双缓冲，刷新周期16 ms。</t>
  </si>
  <si>
    <t>测试A：控件数量、帧率与 CPU 负载关系</t>
  </si>
  <si>
    <t>控件数量</t>
  </si>
  <si>
    <t>帧率 (fps)</t>
  </si>
  <si>
    <t>CPU1负载 (%)</t>
  </si>
  <si>
    <t>LVGL占用 (%)</t>
  </si>
  <si>
    <t>Memory note</t>
  </si>
  <si>
    <t>Baseline</t>
  </si>
  <si>
    <t>稳定</t>
  </si>
  <si>
    <t>Below 64 KiB pool</t>
  </si>
  <si>
    <t>帧率下降</t>
  </si>
  <si>
    <t>At 64 KiB scale</t>
  </si>
  <si>
    <t>First above 64 KiB</t>
  </si>
  <si>
    <t>帧率最低</t>
  </si>
  <si>
    <t>Large control set</t>
  </si>
  <si>
    <t>测试B：刷新频率、帧率与 CPU 负载关系</t>
  </si>
  <si>
    <t>刷新周期 (ms)</t>
  </si>
  <si>
    <t>Refresh frequency (Hz)</t>
  </si>
  <si>
    <t>低刷新率</t>
  </si>
  <si>
    <t>Near 30 fps</t>
  </si>
  <si>
    <t>无帧率收益，且cpu占用提高</t>
  </si>
  <si>
    <t>1）控件数量为4～16时，帧率约29 fps；从32个控件开始，帧率明显下降至约13～18 fps，后续基于平稳，控件32为性能拐点 。</t>
  </si>
  <si>
    <t>2）控件增加时CPU负载变化不大，主要瓶颈是LVGL渲染、失效区域管理和内存访问效率。</t>
  </si>
  <si>
    <t>3）刷新频率提高到约31～63 Hz以上后，帧率仍约28 fps，继续提高刷新频率没有收益。</t>
  </si>
  <si>
    <t>4）建议将16～32 ms作为常用刷新周期，并控制同时活动的控件数量，避免频繁全屏刷新。</t>
  </si>
  <si>
    <t>esp32s31搭载400*800分辨率显示屏，在正常使用lvgl的场景下，30fps画面刷新率是主要瓶颈</t>
  </si>
  <si>
    <t>长文本滚动测试</t>
  </si>
  <si>
    <t>测试方法：生成长文本（中英文结合）在 LCD 上滚动，模拟歌词效果。
表一：固定文本长度 1800，变化滚动速度等级；表二：固定滚动速度（等级 16），变化文本长度。均采用 PCLK=18 MHz、双帧缓冲。</t>
  </si>
  <si>
    <t>滚动速度（等级）</t>
  </si>
  <si>
    <t>帧率</t>
  </si>
  <si>
    <t>heap 余量</t>
  </si>
  <si>
    <t>PSRAM 余量</t>
  </si>
  <si>
    <t>滚动是否卡顿</t>
  </si>
  <si>
    <t>是否出现中文占位符</t>
  </si>
  <si>
    <t>4</t>
  </si>
  <si>
    <t>29.4</t>
  </si>
  <si>
    <t>372263</t>
  </si>
  <si>
    <t>14660532</t>
  </si>
  <si>
    <t>否</t>
  </si>
  <si>
    <t>8</t>
  </si>
  <si>
    <t>测试二：固定滚动速度（等级 16），不断增大文本长度</t>
  </si>
  <si>
    <t>生成文本长度</t>
  </si>
  <si>
    <t>1800</t>
  </si>
  <si>
    <t>3600</t>
  </si>
  <si>
    <t>4096</t>
  </si>
  <si>
    <t>生成长文本并未发现明显性能拐点，歌词滚动效果不是 ESP32-S31 的渲染性能瓶颈；长时间运行未出现内存减少现象。</t>
  </si>
  <si>
    <t>LCD 图像测试（缩放 / 旋转）</t>
  </si>
  <si>
    <t>双缓冲、PCLK 18 MHz；缩放测试开启重解码，旋转测试按固定步长旋转。</t>
  </si>
  <si>
    <t>输出图像尺寸</t>
  </si>
  <si>
    <t>JPEG 解码时间</t>
  </si>
  <si>
    <t>PSRAM 使用量</t>
  </si>
  <si>
    <t>FPS</t>
  </si>
  <si>
    <t>是否有解码错误</t>
  </si>
  <si>
    <t>96×96（图像原生尺寸）</t>
  </si>
  <si>
    <t>5744 us</t>
  </si>
  <si>
    <t>18KB</t>
  </si>
  <si>
    <t>28.79 FPS</t>
  </si>
  <si>
    <t>无</t>
  </si>
  <si>
    <t>80×80</t>
  </si>
  <si>
    <t>6737 us</t>
  </si>
  <si>
    <t>12.5KB</t>
  </si>
  <si>
    <t>29.4FPS</t>
  </si>
  <si>
    <t>64×64</t>
  </si>
  <si>
    <t>6087 us</t>
  </si>
  <si>
    <t>8kb</t>
  </si>
  <si>
    <t>56×56</t>
  </si>
  <si>
    <t>5844 us</t>
  </si>
  <si>
    <t>6.125KB</t>
  </si>
  <si>
    <t>40×40</t>
  </si>
  <si>
    <t>5414 us</t>
  </si>
  <si>
    <t>3.125KB</t>
  </si>
  <si>
    <t>29.5FPS</t>
  </si>
  <si>
    <t>24×40</t>
  </si>
  <si>
    <t>5125 us</t>
  </si>
  <si>
    <t>1.125KB</t>
  </si>
  <si>
    <t>1.在 96×96 小图缩放场景下，ESP32-S31 的 JPEG 解码器在“启用缩放”时存在明显的固定开销，不同缩放尺寸的解码时间差异不大（约 5.1~6.7 ms）。
2.缩放解码对于整体的帧率影响不大
3.解码过程较为稳定，启动重解码，过程并没有出现解码错误问题。</t>
  </si>
  <si>
    <t>图像旋转测试（双缓冲、PCLK 18 MHz）</t>
  </si>
  <si>
    <t>旋转步长</t>
  </si>
  <si>
    <t>每秒旋转角度</t>
  </si>
  <si>
    <t>视觉流畅度</t>
  </si>
  <si>
    <t>3.6°</t>
  </si>
  <si>
    <t>225°/s</t>
  </si>
  <si>
    <t>流畅</t>
  </si>
  <si>
    <t>7.2°</t>
  </si>
  <si>
    <t>450°/s</t>
  </si>
  <si>
    <t>14.4°</t>
  </si>
  <si>
    <t>900°/s</t>
  </si>
  <si>
    <t>29.31FPS</t>
  </si>
  <si>
    <t>28.8°</t>
  </si>
  <si>
    <t>1800°/s</t>
  </si>
  <si>
    <t>29.39FPS</t>
  </si>
  <si>
    <t>略有卡顿</t>
  </si>
  <si>
    <t>1. 帧率几乎没有变化，说明旋转未增加渲染负载；2. ESP32-S31 在小范围图像旋转测试下未发现明显性能瓶颈。</t>
  </si>
  <si>
    <t>触摸精度测试（9 点、3 轮）</t>
  </si>
  <si>
    <t>通过触控 LCD 屏幕 9 个点测试不同点位的定位精度，坐标以 (X, Y) 像素表示，每轮各 9 个点。</t>
  </si>
  <si>
    <t>第一轮</t>
  </si>
  <si>
    <t>坐标(X,Y)</t>
  </si>
  <si>
    <t>平均误差</t>
  </si>
  <si>
    <t>采样失败次数</t>
  </si>
  <si>
    <t>400,240</t>
  </si>
  <si>
    <t>14.98 px</t>
  </si>
  <si>
    <t>20,20</t>
  </si>
  <si>
    <t>5.77 px</t>
  </si>
  <si>
    <t>780,20</t>
  </si>
  <si>
    <t>29.44 px</t>
  </si>
  <si>
    <t>20,460</t>
  </si>
  <si>
    <t>27.44 px</t>
  </si>
  <si>
    <t>780,460</t>
  </si>
  <si>
    <t>19.41 px</t>
  </si>
  <si>
    <t>400,20</t>
  </si>
  <si>
    <t>5.90 px</t>
  </si>
  <si>
    <t>400,460</t>
  </si>
  <si>
    <t>30.20 px</t>
  </si>
  <si>
    <t>20,240</t>
  </si>
  <si>
    <t>18.97 px</t>
  </si>
  <si>
    <t>780,240</t>
  </si>
  <si>
    <t>16.50 px</t>
  </si>
  <si>
    <t>第二轮</t>
  </si>
  <si>
    <t>8.46 px</t>
  </si>
  <si>
    <t>9.22 px</t>
  </si>
  <si>
    <t>23.49 px</t>
  </si>
  <si>
    <t>23.36 px</t>
  </si>
  <si>
    <t>9.91 px</t>
  </si>
  <si>
    <t>17.71 px</t>
  </si>
  <si>
    <t>17.66 px</t>
  </si>
  <si>
    <t>13.50 px</t>
  </si>
  <si>
    <t>25.19 px</t>
  </si>
  <si>
    <t>第三轮</t>
  </si>
  <si>
    <t>9.82 px</t>
  </si>
  <si>
    <t>4.16 px</t>
  </si>
  <si>
    <t>31.23 px</t>
  </si>
  <si>
    <t>26.25 px</t>
  </si>
  <si>
    <t>13.63 px</t>
  </si>
  <si>
    <t>19.87 px</t>
  </si>
  <si>
    <t>37.84 px</t>
  </si>
  <si>
    <t>18.22 px</t>
  </si>
  <si>
    <t>20.04 px</t>
  </si>
  <si>
    <t>GT1151 的 I2C 通信和连续采样总体稳定，但未经校准时边缘区域存在约 20～30 px 的定位误差。当前结果可满足普通按钮和界面交互，不适
 合高精度触控；后续应进行四点/九点坐标校准，并在统计时剔除触摸切换阶段的异常样本。</t>
  </si>
  <si>
    <t>触摸连续轨迹测试</t>
  </si>
  <si>
    <t>程序每 2 ms 采集一次样本点，分别检测快速画线、长按、拖动场景下的丢点情况（数据待补充）。</t>
  </si>
  <si>
    <t>场景</t>
  </si>
  <si>
    <t>采样周期</t>
  </si>
  <si>
    <t>采样点数</t>
  </si>
  <si>
    <t>丢点数</t>
  </si>
  <si>
    <t>丢点率</t>
  </si>
  <si>
    <t>连续性判定</t>
  </si>
  <si>
    <t>快速画线</t>
  </si>
  <si>
    <t>2 ms</t>
  </si>
  <si>
    <t>待补充</t>
  </si>
  <si>
    <t>长按</t>
  </si>
  <si>
    <t>拖动</t>
  </si>
  <si>
    <t>待补充：需按上述三场景补测后填写丢点率与连续性判定。</t>
  </si>
  <si>
    <t>触摸并发性能测试</t>
  </si>
  <si>
    <t>高负载条件下的触摸测试：1. 开启 UI 刷屏负载；2. PSRAM 负载任务；3. 音频播放任务。记录触摸延时，以 LVGL 检测到触摸信号为起点，观测 LCD 渲染完成延时，统计中位数。</t>
  </si>
  <si>
    <t>CPU负载</t>
  </si>
  <si>
    <t>LVGL 响应触摸延时</t>
  </si>
  <si>
    <t>端到端显示延迟</t>
  </si>
  <si>
    <t>2.6 ms</t>
  </si>
  <si>
    <t>19.9 ms</t>
  </si>
  <si>
    <t>19.7 ms</t>
  </si>
  <si>
    <t>3.1 ms</t>
  </si>
  <si>
    <t>15.9 ms</t>
  </si>
  <si>
    <t>7.0 ms</t>
  </si>
  <si>
    <t>18.1 ms</t>
  </si>
  <si>
    <t>9.0 ms</t>
  </si>
  <si>
    <t>9.6 ms</t>
  </si>
  <si>
    <t>系统工作最佳为40%的cpu负载，在40%—60%之间存在 主要性能挂点，触摸响应延时在7ms左右ESP32-S31 在系统满载场景下，触摸端到端延迟中位数控制在 10~20ms 之间，99% 的场景低于 37ms，满足产品对触摸交互响应速度的要求。推荐产品设计中 CPU 长期占用控制在 60% 以内，以保持最佳触摸响应体验。</t>
  </si>
  <si>
    <t>LVGL 响应触摸延时：</t>
  </si>
  <si>
    <t>主要记录 I2C 开始有数据，到 LVGL 触发回调处理的延时。</t>
  </si>
  <si>
    <t>端到端显示延迟：</t>
  </si>
  <si>
    <t>从 I2C 读取触摸到 LCD 屏幕像素刷新完成，该指标主要反馈画面呈现。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</si>
</sst>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%"/>
    <numFmt numFmtId="177" formatCode="0.0000"/>
    <numFmt numFmtId="178" formatCode="0.0"/>
  </numFmts>
  <fonts count="29">
    <font>
      <sz val="11"/>
      <name val="Microsoft YaHei"/>
      <charset val="134"/>
    </font>
    <font>
      <b/>
      <sz val="15"/>
      <color rgb="FFFFFFFF"/>
      <name val="Microsoft YaHei"/>
      <charset val="134"/>
    </font>
    <font>
      <b/>
      <sz val="11"/>
      <color rgb="FFFFFFFF"/>
      <name val="Microsoft YaHei"/>
      <charset val="134"/>
    </font>
    <font>
      <b/>
      <sz val="12"/>
      <color rgb="FFFFFFFF"/>
      <name val="Microsoft YaHei"/>
      <charset val="134"/>
    </font>
    <font>
      <b/>
      <sz val="11"/>
      <name val="Microsoft YaHei"/>
      <charset val="134"/>
    </font>
    <font>
      <b/>
      <sz val="16"/>
      <name val="Microsoft YaHei"/>
      <charset val="134"/>
    </font>
    <font>
      <sz val="10"/>
      <name val="Microsoft YaHei"/>
      <charset val="134"/>
    </font>
    <font>
      <sz val="16"/>
      <name val="Microsoft YaHei"/>
      <charset val="134"/>
    </font>
    <font>
      <sz val="12"/>
      <color rgb="FF0F1115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E2F3"/>
      </left>
      <right/>
      <top style="thin">
        <color rgb="FFD9E2F3"/>
      </top>
      <bottom/>
      <diagonal/>
    </border>
    <border>
      <left/>
      <right/>
      <top style="thin">
        <color rgb="FFD9E2F3"/>
      </top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 style="thin">
        <color rgb="FFD9E2F3"/>
      </right>
      <top/>
      <bottom style="thin">
        <color rgb="FFD9E2F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9" fillId="0" borderId="0">
      <alignment vertical="center"/>
    </xf>
    <xf numFmtId="44" fontId="9" fillId="0" borderId="0">
      <alignment vertical="center"/>
    </xf>
    <xf numFmtId="9" fontId="9" fillId="0" borderId="0">
      <alignment vertical="center"/>
    </xf>
    <xf numFmtId="41" fontId="9" fillId="0" borderId="0">
      <alignment vertical="center"/>
    </xf>
    <xf numFmtId="42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9" fillId="8" borderId="14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15">
      <alignment vertical="center"/>
    </xf>
    <xf numFmtId="0" fontId="16" fillId="0" borderId="15">
      <alignment vertical="center"/>
    </xf>
    <xf numFmtId="0" fontId="17" fillId="0" borderId="16">
      <alignment vertical="center"/>
    </xf>
    <xf numFmtId="0" fontId="17" fillId="0" borderId="0">
      <alignment vertical="center"/>
    </xf>
    <xf numFmtId="0" fontId="18" fillId="9" borderId="17">
      <alignment vertical="center"/>
    </xf>
    <xf numFmtId="0" fontId="19" fillId="7" borderId="18">
      <alignment vertical="center"/>
    </xf>
    <xf numFmtId="0" fontId="20" fillId="7" borderId="17">
      <alignment vertical="center"/>
    </xf>
    <xf numFmtId="0" fontId="21" fillId="10" borderId="19">
      <alignment vertical="center"/>
    </xf>
    <xf numFmtId="0" fontId="22" fillId="0" borderId="20">
      <alignment vertical="center"/>
    </xf>
    <xf numFmtId="0" fontId="23" fillId="0" borderId="21">
      <alignment vertical="center"/>
    </xf>
    <xf numFmtId="0" fontId="24" fillId="11" borderId="0">
      <alignment vertical="center"/>
    </xf>
    <xf numFmtId="0" fontId="25" fillId="12" borderId="0">
      <alignment vertical="center"/>
    </xf>
    <xf numFmtId="0" fontId="26" fillId="13" borderId="0">
      <alignment vertical="center"/>
    </xf>
    <xf numFmtId="0" fontId="27" fillId="14" borderId="0">
      <alignment vertical="center"/>
    </xf>
    <xf numFmtId="0" fontId="28" fillId="15" borderId="0">
      <alignment vertical="center"/>
    </xf>
    <xf numFmtId="0" fontId="28" fillId="16" borderId="0">
      <alignment vertical="center"/>
    </xf>
    <xf numFmtId="0" fontId="27" fillId="17" borderId="0">
      <alignment vertical="center"/>
    </xf>
    <xf numFmtId="0" fontId="27" fillId="18" borderId="0">
      <alignment vertical="center"/>
    </xf>
    <xf numFmtId="0" fontId="28" fillId="19" borderId="0">
      <alignment vertical="center"/>
    </xf>
    <xf numFmtId="0" fontId="28" fillId="20" borderId="0">
      <alignment vertical="center"/>
    </xf>
    <xf numFmtId="0" fontId="27" fillId="21" borderId="0">
      <alignment vertical="center"/>
    </xf>
    <xf numFmtId="0" fontId="27" fillId="22" borderId="0">
      <alignment vertical="center"/>
    </xf>
    <xf numFmtId="0" fontId="28" fillId="23" borderId="0">
      <alignment vertical="center"/>
    </xf>
    <xf numFmtId="0" fontId="28" fillId="24" borderId="0">
      <alignment vertical="center"/>
    </xf>
    <xf numFmtId="0" fontId="27" fillId="25" borderId="0">
      <alignment vertical="center"/>
    </xf>
    <xf numFmtId="0" fontId="27" fillId="26" borderId="0">
      <alignment vertical="center"/>
    </xf>
    <xf numFmtId="0" fontId="28" fillId="27" borderId="0">
      <alignment vertical="center"/>
    </xf>
    <xf numFmtId="0" fontId="28" fillId="28" borderId="0">
      <alignment vertical="center"/>
    </xf>
    <xf numFmtId="0" fontId="27" fillId="29" borderId="0">
      <alignment vertical="center"/>
    </xf>
    <xf numFmtId="0" fontId="27" fillId="30" borderId="0">
      <alignment vertical="center"/>
    </xf>
    <xf numFmtId="0" fontId="28" fillId="31" borderId="0">
      <alignment vertical="center"/>
    </xf>
    <xf numFmtId="0" fontId="28" fillId="32" borderId="0">
      <alignment vertical="center"/>
    </xf>
    <xf numFmtId="0" fontId="27" fillId="33" borderId="0">
      <alignment vertical="center"/>
    </xf>
    <xf numFmtId="0" fontId="27" fillId="34" borderId="0">
      <alignment vertical="center"/>
    </xf>
    <xf numFmtId="0" fontId="28" fillId="35" borderId="0">
      <alignment vertical="center"/>
    </xf>
    <xf numFmtId="0" fontId="28" fillId="36" borderId="0">
      <alignment vertical="center"/>
    </xf>
    <xf numFmtId="0" fontId="27" fillId="37" borderId="0">
      <alignment vertical="center"/>
    </xf>
  </cellStyleXfs>
  <cellXfs count="68">
    <xf numFmtId="0" fontId="0" fillId="0" borderId="0" xfId="0" applyAlignment="1">
      <alignment vertical="center"/>
    </xf>
    <xf numFmtId="0" fontId="0" fillId="0" borderId="0" xfId="0" applyAlignment="1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/>
    <xf numFmtId="0" fontId="0" fillId="0" borderId="3" xfId="0" applyBorder="1" applyAlignment="1"/>
    <xf numFmtId="0" fontId="0" fillId="0" borderId="0" xfId="0" applyAlignment="1">
      <alignment horizontal="left" vertical="top" wrapText="1"/>
    </xf>
    <xf numFmtId="0" fontId="2" fillId="3" borderId="1" xfId="0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9" fontId="0" fillId="5" borderId="1" xfId="0" applyNumberForma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3" fontId="2" fillId="3" borderId="1" xfId="0" applyNumberFormat="1" applyFont="1" applyFill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/>
    <xf numFmtId="0" fontId="0" fillId="0" borderId="6" xfId="0" applyBorder="1" applyAlignment="1"/>
    <xf numFmtId="0" fontId="1" fillId="2" borderId="7" xfId="0" applyFont="1" applyFill="1" applyBorder="1" applyAlignment="1">
      <alignment horizontal="center" vertical="center"/>
    </xf>
    <xf numFmtId="0" fontId="0" fillId="0" borderId="8" xfId="0" applyBorder="1" applyAlignment="1"/>
    <xf numFmtId="0" fontId="1" fillId="0" borderId="8" xfId="0" applyFont="1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4" xfId="0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1" fillId="2" borderId="9" xfId="0" applyFont="1" applyFill="1" applyBorder="1" applyAlignment="1">
      <alignment horizontal="center" vertical="center"/>
    </xf>
    <xf numFmtId="0" fontId="0" fillId="0" borderId="10" xfId="0" applyBorder="1" applyAlignment="1"/>
    <xf numFmtId="0" fontId="0" fillId="0" borderId="11" xfId="0" applyBorder="1" applyAlignment="1"/>
    <xf numFmtId="0" fontId="4" fillId="0" borderId="9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9" xfId="0" applyBorder="1" applyAlignment="1">
      <alignment vertical="top" wrapText="1"/>
    </xf>
    <xf numFmtId="0" fontId="4" fillId="6" borderId="9" xfId="0" applyFont="1" applyFill="1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176" fontId="0" fillId="0" borderId="9" xfId="0" applyNumberFormat="1" applyBorder="1" applyAlignment="1">
      <alignment horizontal="left" vertical="center" wrapText="1"/>
    </xf>
    <xf numFmtId="0" fontId="0" fillId="6" borderId="9" xfId="0" applyFill="1" applyBorder="1" applyAlignment="1">
      <alignment vertical="top" wrapText="1"/>
    </xf>
    <xf numFmtId="0" fontId="2" fillId="3" borderId="9" xfId="0" applyFont="1" applyFill="1" applyBorder="1" applyAlignment="1">
      <alignment horizontal="center" vertical="center" wrapText="1"/>
    </xf>
    <xf numFmtId="0" fontId="5" fillId="6" borderId="9" xfId="0" applyFont="1" applyFill="1" applyBorder="1" applyAlignment="1">
      <alignment vertical="top" wrapText="1"/>
    </xf>
    <xf numFmtId="0" fontId="6" fillId="0" borderId="0" xfId="0" applyFont="1" applyAlignment="1">
      <alignment vertical="center"/>
    </xf>
    <xf numFmtId="1" fontId="0" fillId="0" borderId="1" xfId="0" applyNumberFormat="1" applyBorder="1" applyAlignment="1">
      <alignment horizontal="center" vertical="center" wrapText="1"/>
    </xf>
    <xf numFmtId="0" fontId="0" fillId="7" borderId="0" xfId="0" applyFill="1" applyAlignment="1">
      <alignment horizontal="center" vertical="center" wrapText="1"/>
    </xf>
    <xf numFmtId="0" fontId="0" fillId="7" borderId="0" xfId="0" applyFill="1" applyAlignment="1">
      <alignment horizontal="left" vertical="top" wrapText="1"/>
    </xf>
    <xf numFmtId="0" fontId="3" fillId="2" borderId="4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7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4" xfId="0" applyFont="1" applyBorder="1" applyAlignment="1">
      <alignment horizontal="center" vertical="center"/>
    </xf>
    <xf numFmtId="177" fontId="0" fillId="0" borderId="4" xfId="0" applyNumberFormat="1" applyBorder="1" applyAlignment="1">
      <alignment horizontal="center" vertical="center"/>
    </xf>
    <xf numFmtId="1" fontId="0" fillId="0" borderId="4" xfId="0" applyNumberFormat="1" applyBorder="1" applyAlignment="1">
      <alignment horizontal="center" vertical="center"/>
    </xf>
    <xf numFmtId="178" fontId="4" fillId="5" borderId="4" xfId="0" applyNumberFormat="1" applyFont="1" applyFill="1" applyBorder="1" applyAlignment="1">
      <alignment horizontal="center" vertical="center"/>
    </xf>
    <xf numFmtId="178" fontId="0" fillId="5" borderId="4" xfId="0" applyNumberFormat="1" applyFill="1" applyBorder="1" applyAlignment="1">
      <alignment horizontal="center" vertical="center"/>
    </xf>
    <xf numFmtId="178" fontId="0" fillId="0" borderId="4" xfId="0" applyNumberForma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76" fontId="0" fillId="0" borderId="9" xfId="0" applyNumberFormat="1" applyBorder="1" applyAlignment="1">
      <alignment vertical="top" wrapText="1"/>
    </xf>
    <xf numFmtId="0" fontId="1" fillId="2" borderId="12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8" fillId="4" borderId="4" xfId="0" applyFont="1" applyFill="1" applyBorder="1" applyAlignment="1">
      <alignment vertical="center" wrapText="1"/>
    </xf>
    <xf numFmtId="3" fontId="8" fillId="4" borderId="4" xfId="0" applyNumberFormat="1" applyFont="1" applyFill="1" applyBorder="1" applyAlignment="1">
      <alignment vertical="center" wrapText="1"/>
    </xf>
    <xf numFmtId="0" fontId="1" fillId="2" borderId="12" xfId="0" applyFont="1" applyFill="1" applyBorder="1" applyAlignment="1">
      <alignment vertical="center" wrapText="1"/>
    </xf>
    <xf numFmtId="0" fontId="0" fillId="0" borderId="9" xfId="0" applyBorder="1" applyAlignment="1">
      <alignment horizontal="center" vertical="top" wrapText="1"/>
    </xf>
    <xf numFmtId="0" fontId="0" fillId="0" borderId="0" xfId="0" applyAlignment="1">
      <alignment horizontal="center" vertical="center" wrapText="1"/>
    </xf>
    <xf numFmtId="0" fontId="0" fillId="0" borderId="13" xfId="0" applyBorder="1" applyAlignment="1"/>
    <xf numFmtId="0" fontId="2" fillId="6" borderId="9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0" Type="http://schemas.openxmlformats.org/officeDocument/2006/relationships/styles" Target="styles.xml"/><Relationship Id="rId2" Type="http://schemas.openxmlformats.org/officeDocument/2006/relationships/worksheet" Target="worksheets/sheet2.xml"/><Relationship Id="rId19" Type="http://schemas.openxmlformats.org/officeDocument/2006/relationships/sharedStrings" Target="sharedStrings.xml"/><Relationship Id="rId18" Type="http://schemas.openxmlformats.org/officeDocument/2006/relationships/theme" Target="theme/theme1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0478703703703704"/>
          <c:y val="0.0168170174852433"/>
          <c:w val="0.925277777777778"/>
          <c:h val="0.797082080409845"/>
        </c:manualLayout>
      </c:layout>
      <c:lineChart>
        <c:grouping val="standard"/>
        <c:varyColors val="0"/>
        <c:ser>
          <c:idx val="0"/>
          <c:order val="0"/>
          <c:tx>
            <c:strRef>
              <c:f>单任务带宽!$B$2</c:f>
              <c:strCache>
                <c:ptCount val="1"/>
                <c:pt idx="0">
                  <c:v>32 KiB</c:v>
                </c:pt>
              </c:strCache>
            </c:strRef>
          </c:tx>
          <c:spPr>
            <a:ln w="19050" cap="rnd" cmpd="sng" algn="ctr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单任务带宽!$A$3:$A$6</c:f>
              <c:strCache>
                <c:ptCount val="4"/>
                <c:pt idx="0">
                  <c:v>片上内存读写</c:v>
                </c:pt>
                <c:pt idx="1">
                  <c:v>片上到PSRAM</c:v>
                </c:pt>
                <c:pt idx="2">
                  <c:v>PSRAM到片上</c:v>
                </c:pt>
                <c:pt idx="3">
                  <c:v>PSRAM读写</c:v>
                </c:pt>
              </c:strCache>
            </c:strRef>
          </c:cat>
          <c:val>
            <c:numRef>
              <c:f>单任务带宽!$B$3:$B$6</c:f>
              <c:numCache>
                <c:formatCode>General</c:formatCode>
                <c:ptCount val="4"/>
                <c:pt idx="0">
                  <c:v>496.07</c:v>
                </c:pt>
                <c:pt idx="1">
                  <c:v>495.99</c:v>
                </c:pt>
                <c:pt idx="2">
                  <c:v>496.22</c:v>
                </c:pt>
                <c:pt idx="3">
                  <c:v>482.41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单任务带宽!$C$2</c:f>
              <c:strCache>
                <c:ptCount val="1"/>
                <c:pt idx="0">
                  <c:v>64 KiB</c:v>
                </c:pt>
              </c:strCache>
            </c:strRef>
          </c:tx>
          <c:spPr>
            <a:ln w="19050" cap="rnd" cmpd="sng" algn="ctr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单任务带宽!$A$3:$A$6</c:f>
              <c:strCache>
                <c:ptCount val="4"/>
                <c:pt idx="0">
                  <c:v>片上内存读写</c:v>
                </c:pt>
                <c:pt idx="1">
                  <c:v>片上到PSRAM</c:v>
                </c:pt>
                <c:pt idx="2">
                  <c:v>PSRAM到片上</c:v>
                </c:pt>
                <c:pt idx="3">
                  <c:v>PSRAM读写</c:v>
                </c:pt>
              </c:strCache>
            </c:strRef>
          </c:cat>
          <c:val>
            <c:numRef>
              <c:f>单任务带宽!$C$3:$C$6</c:f>
              <c:numCache>
                <c:formatCode>General</c:formatCode>
                <c:ptCount val="4"/>
                <c:pt idx="0">
                  <c:v>496.71</c:v>
                </c:pt>
                <c:pt idx="1">
                  <c:v>490.49</c:v>
                </c:pt>
                <c:pt idx="2">
                  <c:v>491.73</c:v>
                </c:pt>
                <c:pt idx="3">
                  <c:v>53.36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单任务带宽!$D$2</c:f>
              <c:strCache>
                <c:ptCount val="1"/>
                <c:pt idx="0">
                  <c:v>128 KiB</c:v>
                </c:pt>
              </c:strCache>
            </c:strRef>
          </c:tx>
          <c:spPr>
            <a:ln w="19050" cap="rnd" cmpd="sng" algn="ctr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单任务带宽!$A$3:$A$6</c:f>
              <c:strCache>
                <c:ptCount val="4"/>
                <c:pt idx="0">
                  <c:v>片上内存读写</c:v>
                </c:pt>
                <c:pt idx="1">
                  <c:v>片上到PSRAM</c:v>
                </c:pt>
                <c:pt idx="2">
                  <c:v>PSRAM到片上</c:v>
                </c:pt>
                <c:pt idx="3">
                  <c:v>PSRAM读写</c:v>
                </c:pt>
              </c:strCache>
            </c:strRef>
          </c:cat>
          <c:val>
            <c:numRef>
              <c:f>单任务带宽!$D$3:$D$6</c:f>
              <c:numCache>
                <c:formatCode>General</c:formatCode>
                <c:ptCount val="4"/>
                <c:pt idx="0">
                  <c:v>497.14</c:v>
                </c:pt>
                <c:pt idx="1">
                  <c:v>98.32</c:v>
                </c:pt>
                <c:pt idx="2">
                  <c:v>112.78</c:v>
                </c:pt>
                <c:pt idx="3">
                  <c:v>53.41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100000001"/>
        <c:axId val="100000002"/>
      </c:lineChart>
      <c:catAx>
        <c:axId val="100000001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000002"/>
        <c:crosses val="autoZero"/>
        <c:auto val="1"/>
        <c:lblAlgn val="ctr"/>
        <c:lblOffset val="100"/>
        <c:noMultiLvlLbl val="0"/>
      </c:catAx>
      <c:valAx>
        <c:axId val="10000000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000001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1af3966-fff1-4d0d-a8e1-1a154477ae3d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(PSRAM,单任务基线)</c:f>
              <c:strCache>
                <c:ptCount val="1"/>
                <c:pt idx="0">
                  <c:v>PSRAM 单任务基线</c:v>
                </c:pt>
              </c:strCache>
            </c:strRef>
          </c:tx>
          <c:spPr>
            <a:ln w="19050" cap="rnd" cmpd="sng" algn="ctr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并行访问!$C$2:$E$2</c:f>
              <c:strCache>
                <c:ptCount val="3"/>
                <c:pt idx="0">
                  <c:v>32 KiB</c:v>
                </c:pt>
                <c:pt idx="1">
                  <c:v>64 KiB</c:v>
                </c:pt>
                <c:pt idx="2">
                  <c:v>128 KiB</c:v>
                </c:pt>
              </c:strCache>
            </c:strRef>
          </c:cat>
          <c:val>
            <c:numRef>
              <c:f>单任务带宽!$B$6:$D$6</c:f>
              <c:numCache>
                <c:formatCode>General</c:formatCode>
                <c:ptCount val="3"/>
                <c:pt idx="0">
                  <c:v>482.41</c:v>
                </c:pt>
                <c:pt idx="1">
                  <c:v>53.36</c:v>
                </c:pt>
                <c:pt idx="2">
                  <c:v>53.41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并行访问!$A$3</c:f>
              <c:strCache>
                <c:ptCount val="1"/>
                <c:pt idx="0">
                  <c:v>D1 Core1 PSRAM读写（Flash并行）</c:v>
                </c:pt>
              </c:strCache>
            </c:strRef>
          </c:tx>
          <c:spPr>
            <a:ln w="19050" cap="rnd" cmpd="sng" algn="ctr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并行访问!$C$2:$E$2</c:f>
              <c:strCache>
                <c:ptCount val="3"/>
                <c:pt idx="0">
                  <c:v>32 KiB</c:v>
                </c:pt>
                <c:pt idx="1">
                  <c:v>64 KiB</c:v>
                </c:pt>
                <c:pt idx="2">
                  <c:v>128 KiB</c:v>
                </c:pt>
              </c:strCache>
            </c:strRef>
          </c:cat>
          <c:val>
            <c:numRef>
              <c:f>并行访问!$C$3:$E$3</c:f>
              <c:numCache>
                <c:formatCode>General</c:formatCode>
                <c:ptCount val="3"/>
                <c:pt idx="0">
                  <c:v>28.93</c:v>
                </c:pt>
                <c:pt idx="1">
                  <c:v>3.89</c:v>
                </c:pt>
                <c:pt idx="2">
                  <c:v>3.9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100000001"/>
        <c:axId val="100000002"/>
      </c:lineChart>
      <c:catAx>
        <c:axId val="100000001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000002"/>
        <c:crosses val="autoZero"/>
        <c:auto val="1"/>
        <c:lblAlgn val="ctr"/>
        <c:lblOffset val="100"/>
        <c:noMultiLvlLbl val="0"/>
      </c:catAx>
      <c:valAx>
        <c:axId val="10000000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000001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e083ce4-f2c4-4525-937a-fddd9127a6fd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[0]!片上内存单任务基线</c:f>
              <c:strCache>
                <c:ptCount val="1"/>
                <c:pt idx="0">
                  <c:v>片上内存单任务基线</c:v>
                </c:pt>
              </c:strCache>
            </c:strRef>
          </c:tx>
          <c:spPr>
            <a:ln w="19050" cap="rnd" cmpd="sng" algn="ctr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并行访问!$C$2:$E$2</c:f>
              <c:strCache>
                <c:ptCount val="3"/>
                <c:pt idx="0">
                  <c:v>32 KiB</c:v>
                </c:pt>
                <c:pt idx="1">
                  <c:v>64 KiB</c:v>
                </c:pt>
                <c:pt idx="2">
                  <c:v>128 KiB</c:v>
                </c:pt>
              </c:strCache>
            </c:strRef>
          </c:cat>
          <c:val>
            <c:numRef>
              <c:f>单任务带宽!$B$3:$D$3</c:f>
              <c:numCache>
                <c:formatCode>General</c:formatCode>
                <c:ptCount val="3"/>
                <c:pt idx="0">
                  <c:v>496.07</c:v>
                </c:pt>
                <c:pt idx="1">
                  <c:v>496.71</c:v>
                </c:pt>
                <c:pt idx="2">
                  <c:v>497.14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并行访问!$A$4</c:f>
              <c:strCache>
                <c:ptCount val="1"/>
                <c:pt idx="0">
                  <c:v>D2 Core0 片上内存读写 D2 Core1 片上内存读写</c:v>
                </c:pt>
              </c:strCache>
            </c:strRef>
          </c:tx>
          <c:spPr>
            <a:ln w="19050" cap="rnd" cmpd="sng" algn="ctr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并行访问!$C$2:$E$2</c:f>
              <c:strCache>
                <c:ptCount val="3"/>
                <c:pt idx="0">
                  <c:v>32 KiB</c:v>
                </c:pt>
                <c:pt idx="1">
                  <c:v>64 KiB</c:v>
                </c:pt>
                <c:pt idx="2">
                  <c:v>128 KiB</c:v>
                </c:pt>
              </c:strCache>
            </c:strRef>
          </c:cat>
          <c:val>
            <c:numRef>
              <c:f>并行访问!$C$4:$E$4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并行访问!$A$5</c:f>
              <c:strCache>
                <c:ptCount val="1"/>
                <c:pt idx="0">
                  <c:v/>
                </c:pt>
              </c:strCache>
            </c:strRef>
          </c:tx>
          <c:spPr>
            <a:ln w="19050" cap="rnd" cmpd="sng" algn="ctr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并行访问!$C$2:$E$2</c:f>
              <c:strCache>
                <c:ptCount val="3"/>
                <c:pt idx="0">
                  <c:v>32 KiB</c:v>
                </c:pt>
                <c:pt idx="1">
                  <c:v>64 KiB</c:v>
                </c:pt>
                <c:pt idx="2">
                  <c:v>128 KiB</c:v>
                </c:pt>
              </c:strCache>
            </c:strRef>
          </c:cat>
          <c:val>
            <c:numRef>
              <c:f>并行访问!$C$5:$E$5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100000001"/>
        <c:axId val="100000002"/>
      </c:lineChart>
      <c:catAx>
        <c:axId val="100000001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000002"/>
        <c:crosses val="autoZero"/>
        <c:auto val="1"/>
        <c:lblAlgn val="ctr"/>
        <c:lblOffset val="100"/>
        <c:noMultiLvlLbl val="0"/>
      </c:catAx>
      <c:valAx>
        <c:axId val="10000000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000001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09cfa78-ca24-4a13-bd0b-48bf9c9f3232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(PSRAM,单任务基线)</c:f>
              <c:strCache>
                <c:ptCount val="1"/>
                <c:pt idx="0">
                  <c:v>PSRAM 单任务基线</c:v>
                </c:pt>
              </c:strCache>
            </c:strRef>
          </c:tx>
          <c:spPr>
            <a:ln w="19050" cap="rnd" cmpd="sng" algn="ctr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并行访问!$C$2:$E$2</c:f>
              <c:strCache>
                <c:ptCount val="3"/>
                <c:pt idx="0">
                  <c:v>32 KiB</c:v>
                </c:pt>
                <c:pt idx="1">
                  <c:v>64 KiB</c:v>
                </c:pt>
                <c:pt idx="2">
                  <c:v>128 KiB</c:v>
                </c:pt>
              </c:strCache>
            </c:strRef>
          </c:cat>
          <c:val>
            <c:numRef>
              <c:f>单任务带宽!$B$6:$D$6</c:f>
              <c:numCache>
                <c:formatCode>General</c:formatCode>
                <c:ptCount val="3"/>
                <c:pt idx="0">
                  <c:v>482.41</c:v>
                </c:pt>
                <c:pt idx="1">
                  <c:v>53.36</c:v>
                </c:pt>
                <c:pt idx="2">
                  <c:v>53.41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并行访问!$A$6</c:f>
              <c:strCache>
                <c:ptCount val="1"/>
                <c:pt idx="0">
                  <c:v>D3 Core0 PSRAM读写 D3 Core1 PSRAM读写</c:v>
                </c:pt>
              </c:strCache>
            </c:strRef>
          </c:tx>
          <c:spPr>
            <a:ln w="19050" cap="rnd" cmpd="sng" algn="ctr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并行访问!$C$2:$E$2</c:f>
              <c:strCache>
                <c:ptCount val="3"/>
                <c:pt idx="0">
                  <c:v>32 KiB</c:v>
                </c:pt>
                <c:pt idx="1">
                  <c:v>64 KiB</c:v>
                </c:pt>
                <c:pt idx="2">
                  <c:v>128 KiB</c:v>
                </c:pt>
              </c:strCache>
            </c:strRef>
          </c:cat>
          <c:val>
            <c:numRef>
              <c:f>并行访问!$C$6:$E$6</c:f>
              <c:numCache>
                <c:formatCode>General</c:formatCode>
                <c:ptCount val="3"/>
                <c:pt idx="0">
                  <c:v>31.4</c:v>
                </c:pt>
                <c:pt idx="1">
                  <c:v>31.41</c:v>
                </c:pt>
                <c:pt idx="2">
                  <c:v>31.43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并行访问!$A$7</c:f>
              <c:strCache>
                <c:ptCount val="1"/>
                <c:pt idx="0">
                  <c:v/>
                </c:pt>
              </c:strCache>
            </c:strRef>
          </c:tx>
          <c:spPr>
            <a:ln w="19050" cap="rnd" cmpd="sng" algn="ctr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并行访问!$C$2:$E$2</c:f>
              <c:strCache>
                <c:ptCount val="3"/>
                <c:pt idx="0">
                  <c:v>32 KiB</c:v>
                </c:pt>
                <c:pt idx="1">
                  <c:v>64 KiB</c:v>
                </c:pt>
                <c:pt idx="2">
                  <c:v>128 KiB</c:v>
                </c:pt>
              </c:strCache>
            </c:strRef>
          </c:cat>
          <c:val>
            <c:numRef>
              <c:f>并行访问!$C$7:$E$7</c:f>
              <c:numCache>
                <c:formatCode>General</c:formatCode>
                <c:ptCount val="3"/>
                <c:pt idx="0">
                  <c:v>31.4</c:v>
                </c:pt>
                <c:pt idx="1">
                  <c:v>31.41</c:v>
                </c:pt>
                <c:pt idx="2">
                  <c:v>31.43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100000001"/>
        <c:axId val="100000002"/>
      </c:lineChart>
      <c:catAx>
        <c:axId val="100000001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000002"/>
        <c:crosses val="autoZero"/>
        <c:auto val="1"/>
        <c:lblAlgn val="ctr"/>
        <c:lblOffset val="100"/>
        <c:noMultiLvlLbl val="0"/>
      </c:catAx>
      <c:valAx>
        <c:axId val="10000000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000001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dae5499-add6-4161-92a7-022cc8980154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(PSRAM,单任务基线)</c:f>
              <c:strCache>
                <c:ptCount val="1"/>
                <c:pt idx="0">
                  <c:v>PSRAM 单任务基线</c:v>
                </c:pt>
              </c:strCache>
            </c:strRef>
          </c:tx>
          <c:spPr>
            <a:ln w="19050" cap="rnd" cmpd="sng" algn="ctr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并行访问!$C$2:$E$2</c:f>
              <c:strCache>
                <c:ptCount val="3"/>
                <c:pt idx="0">
                  <c:v>32 KiB</c:v>
                </c:pt>
                <c:pt idx="1">
                  <c:v>64 KiB</c:v>
                </c:pt>
                <c:pt idx="2">
                  <c:v>128 KiB</c:v>
                </c:pt>
              </c:strCache>
            </c:strRef>
          </c:cat>
          <c:val>
            <c:numRef>
              <c:f>单任务带宽!$B$6:$D$6</c:f>
              <c:numCache>
                <c:formatCode>General</c:formatCode>
                <c:ptCount val="3"/>
                <c:pt idx="0">
                  <c:v>482.41</c:v>
                </c:pt>
                <c:pt idx="1">
                  <c:v>53.36</c:v>
                </c:pt>
                <c:pt idx="2">
                  <c:v>53.41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并行访问!$A$8</c:f>
              <c:strCache>
                <c:ptCount val="1"/>
                <c:pt idx="0">
                  <c:v>D4 Core0 PSRAM读写 D4 Core1 片上内存读写</c:v>
                </c:pt>
              </c:strCache>
            </c:strRef>
          </c:tx>
          <c:spPr>
            <a:ln w="19050" cap="rnd" cmpd="sng" algn="ctr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并行访问!$C$2:$E$2</c:f>
              <c:strCache>
                <c:ptCount val="3"/>
                <c:pt idx="0">
                  <c:v>32 KiB</c:v>
                </c:pt>
                <c:pt idx="1">
                  <c:v>64 KiB</c:v>
                </c:pt>
                <c:pt idx="2">
                  <c:v>128 KiB</c:v>
                </c:pt>
              </c:strCache>
            </c:strRef>
          </c:cat>
          <c:val>
            <c:numRef>
              <c:f>并行访问!$C$8:$E$8</c:f>
              <c:numCache>
                <c:formatCode>General</c:formatCode>
                <c:ptCount val="3"/>
                <c:pt idx="0">
                  <c:v>481.91</c:v>
                </c:pt>
                <c:pt idx="1">
                  <c:v>53.35</c:v>
                </c:pt>
                <c:pt idx="2">
                  <c:v>53.44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100000001"/>
        <c:axId val="100000002"/>
      </c:lineChart>
      <c:catAx>
        <c:axId val="100000001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000002"/>
        <c:crosses val="autoZero"/>
        <c:auto val="1"/>
        <c:lblAlgn val="ctr"/>
        <c:lblOffset val="100"/>
        <c:noMultiLvlLbl val="0"/>
      </c:catAx>
      <c:valAx>
        <c:axId val="10000000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000001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d2d45fe-95c4-4082-aa91-4e6299800f1c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[0]!片上内存单任务基线</c:f>
              <c:strCache>
                <c:ptCount val="1"/>
                <c:pt idx="0">
                  <c:v>片上内存单任务基线</c:v>
                </c:pt>
              </c:strCache>
            </c:strRef>
          </c:tx>
          <c:spPr>
            <a:ln w="19050" cap="rnd" cmpd="sng" algn="ctr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并行访问!$C$2:$E$2</c:f>
              <c:strCache>
                <c:ptCount val="3"/>
                <c:pt idx="0">
                  <c:v>32 KiB</c:v>
                </c:pt>
                <c:pt idx="1">
                  <c:v>64 KiB</c:v>
                </c:pt>
                <c:pt idx="2">
                  <c:v>128 KiB</c:v>
                </c:pt>
              </c:strCache>
            </c:strRef>
          </c:cat>
          <c:val>
            <c:numRef>
              <c:f>单任务带宽!$B$3:$D$3</c:f>
              <c:numCache>
                <c:formatCode>General</c:formatCode>
                <c:ptCount val="3"/>
                <c:pt idx="0">
                  <c:v>496.07</c:v>
                </c:pt>
                <c:pt idx="1">
                  <c:v>496.71</c:v>
                </c:pt>
                <c:pt idx="2">
                  <c:v>497.14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并行访问!$A$9</c:f>
              <c:strCache>
                <c:ptCount val="1"/>
                <c:pt idx="0">
                  <c:v/>
                </c:pt>
              </c:strCache>
            </c:strRef>
          </c:tx>
          <c:spPr>
            <a:ln w="19050" cap="rnd" cmpd="sng" algn="ctr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并行访问!$C$2:$E$2</c:f>
              <c:strCache>
                <c:ptCount val="3"/>
                <c:pt idx="0">
                  <c:v>32 KiB</c:v>
                </c:pt>
                <c:pt idx="1">
                  <c:v>64 KiB</c:v>
                </c:pt>
                <c:pt idx="2">
                  <c:v>128 KiB</c:v>
                </c:pt>
              </c:strCache>
            </c:strRef>
          </c:cat>
          <c:val>
            <c:numRef>
              <c:f>并行访问!$C$9:$E$9</c:f>
              <c:numCache>
                <c:formatCode>General</c:formatCode>
                <c:ptCount val="3"/>
                <c:pt idx="0">
                  <c:v>495.67</c:v>
                </c:pt>
                <c:pt idx="1">
                  <c:v>496.55</c:v>
                </c:pt>
                <c:pt idx="2">
                  <c:v>497.06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100000001"/>
        <c:axId val="100000002"/>
      </c:lineChart>
      <c:catAx>
        <c:axId val="100000001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000002"/>
        <c:crosses val="autoZero"/>
        <c:auto val="1"/>
        <c:lblAlgn val="ctr"/>
        <c:lblOffset val="100"/>
        <c:noMultiLvlLbl val="0"/>
      </c:catAx>
      <c:valAx>
        <c:axId val="10000000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000001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afb1025-35e5-44f6-9bed-e0e2a5d18adb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[0]!片上到PSRAM单任务基线</c:f>
              <c:strCache>
                <c:ptCount val="1"/>
                <c:pt idx="0">
                  <c:v>片上到PSRAM单任务基线</c:v>
                </c:pt>
              </c:strCache>
            </c:strRef>
          </c:tx>
          <c:spPr>
            <a:ln w="19050" cap="rnd" cmpd="sng" algn="ctr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并行访问!$C$2:$E$2</c:f>
              <c:strCache>
                <c:ptCount val="3"/>
                <c:pt idx="0">
                  <c:v>32 KiB</c:v>
                </c:pt>
                <c:pt idx="1">
                  <c:v>64 KiB</c:v>
                </c:pt>
                <c:pt idx="2">
                  <c:v>128 KiB</c:v>
                </c:pt>
              </c:strCache>
            </c:strRef>
          </c:cat>
          <c:val>
            <c:numRef>
              <c:f>单任务带宽!$B$4:$D$4</c:f>
              <c:numCache>
                <c:formatCode>General</c:formatCode>
                <c:ptCount val="3"/>
                <c:pt idx="0">
                  <c:v>495.99</c:v>
                </c:pt>
                <c:pt idx="1">
                  <c:v>490.49</c:v>
                </c:pt>
                <c:pt idx="2">
                  <c:v>98.32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并行访问!$A$10</c:f>
              <c:strCache>
                <c:ptCount val="1"/>
                <c:pt idx="0">
                  <c:v>D5 Core0 片上内存写入 D5 Core1 片上内存写入</c:v>
                </c:pt>
              </c:strCache>
            </c:strRef>
          </c:tx>
          <c:spPr>
            <a:ln w="19050" cap="rnd" cmpd="sng" algn="ctr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并行访问!$C$2:$E$2</c:f>
              <c:strCache>
                <c:ptCount val="3"/>
                <c:pt idx="0">
                  <c:v>32 KiB</c:v>
                </c:pt>
                <c:pt idx="1">
                  <c:v>64 KiB</c:v>
                </c:pt>
                <c:pt idx="2">
                  <c:v>128 KiB</c:v>
                </c:pt>
              </c:strCache>
            </c:strRef>
          </c:cat>
          <c:val>
            <c:numRef>
              <c:f>并行访问!$C$10:$E$10</c:f>
              <c:numCache>
                <c:formatCode>General</c:formatCode>
                <c:ptCount val="3"/>
                <c:pt idx="0">
                  <c:v>487.14</c:v>
                </c:pt>
                <c:pt idx="1">
                  <c:v>49.19</c:v>
                </c:pt>
                <c:pt idx="2">
                  <c:v>49.21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并行访问!$A$11</c:f>
              <c:strCache>
                <c:ptCount val="1"/>
                <c:pt idx="0">
                  <c:v/>
                </c:pt>
              </c:strCache>
            </c:strRef>
          </c:tx>
          <c:spPr>
            <a:ln w="19050" cap="rnd" cmpd="sng" algn="ctr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并行访问!$C$2:$E$2</c:f>
              <c:strCache>
                <c:ptCount val="3"/>
                <c:pt idx="0">
                  <c:v>32 KiB</c:v>
                </c:pt>
                <c:pt idx="1">
                  <c:v>64 KiB</c:v>
                </c:pt>
                <c:pt idx="2">
                  <c:v>128 KiB</c:v>
                </c:pt>
              </c:strCache>
            </c:strRef>
          </c:cat>
          <c:val>
            <c:numRef>
              <c:f>并行访问!$C$11:$E$11</c:f>
              <c:numCache>
                <c:formatCode>General</c:formatCode>
                <c:ptCount val="3"/>
                <c:pt idx="0">
                  <c:v>484</c:v>
                </c:pt>
                <c:pt idx="1">
                  <c:v>49.21</c:v>
                </c:pt>
                <c:pt idx="2">
                  <c:v>49.21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100000001"/>
        <c:axId val="100000002"/>
      </c:lineChart>
      <c:catAx>
        <c:axId val="100000001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000002"/>
        <c:crosses val="autoZero"/>
        <c:auto val="1"/>
        <c:lblAlgn val="ctr"/>
        <c:lblOffset val="100"/>
        <c:noMultiLvlLbl val="0"/>
      </c:catAx>
      <c:valAx>
        <c:axId val="10000000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000001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c11f3a5-f862-4ce1-a7e9-df0a87293c8b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0580685069202814"/>
          <c:y val="0.0976785914545251"/>
          <c:w val="0.929792004948581"/>
          <c:h val="0.795671189862061"/>
        </c:manualLayout>
      </c:layout>
      <c:lineChart>
        <c:grouping val="standard"/>
        <c:varyColors val="0"/>
        <c:ser>
          <c:idx val="0"/>
          <c:order val="0"/>
          <c:tx>
            <c:strRef>
              <c:f>中断测试!$A$4</c:f>
              <c:strCache>
                <c:ptCount val="1"/>
                <c:pt idx="0">
                  <c:v>1000</c:v>
                </c:pt>
              </c:strCache>
            </c:strRef>
          </c:tx>
          <c:spPr>
            <a:ln w="19050" cap="rnd" cmpd="sng" algn="ctr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中断测试!$A$4:$A$8</c:f>
              <c:numCache>
                <c:formatCode>General</c:formatCode>
                <c:ptCount val="5"/>
                <c:pt idx="0">
                  <c:v>1000</c:v>
                </c:pt>
                <c:pt idx="1">
                  <c:v>10000</c:v>
                </c:pt>
                <c:pt idx="2">
                  <c:v>20000</c:v>
                </c:pt>
                <c:pt idx="3">
                  <c:v>50000</c:v>
                </c:pt>
                <c:pt idx="4">
                  <c:v>100000</c:v>
                </c:pt>
              </c:numCache>
            </c:numRef>
          </c:cat>
          <c:val>
            <c:numRef>
              <c:f>中断测试!$D$4:$D$8</c:f>
              <c:numCache>
                <c:formatCode>General</c:formatCode>
                <c:ptCount val="5"/>
                <c:pt idx="0">
                  <c:v>1000</c:v>
                </c:pt>
                <c:pt idx="1">
                  <c:v>100</c:v>
                </c:pt>
                <c:pt idx="2">
                  <c:v>50</c:v>
                </c:pt>
                <c:pt idx="3">
                  <c:v>20</c:v>
                </c:pt>
                <c:pt idx="4">
                  <c:v>10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中断测试!$A$5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 cmpd="sng" algn="ctr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中断测试!$A$4:$A$8</c:f>
              <c:numCache>
                <c:formatCode>General</c:formatCode>
                <c:ptCount val="5"/>
                <c:pt idx="0">
                  <c:v>1000</c:v>
                </c:pt>
                <c:pt idx="1">
                  <c:v>10000</c:v>
                </c:pt>
                <c:pt idx="2">
                  <c:v>20000</c:v>
                </c:pt>
                <c:pt idx="3">
                  <c:v>50000</c:v>
                </c:pt>
                <c:pt idx="4">
                  <c:v>100000</c:v>
                </c:pt>
              </c:numCache>
            </c:numRef>
          </c:cat>
          <c:val>
            <c:numRef>
              <c:f>中断测试!$E$4:$E$8</c:f>
              <c:numCache>
                <c:formatCode>General</c:formatCode>
                <c:ptCount val="5"/>
                <c:pt idx="0">
                  <c:v>1000</c:v>
                </c:pt>
                <c:pt idx="1">
                  <c:v>100</c:v>
                </c:pt>
                <c:pt idx="2">
                  <c:v>50</c:v>
                </c:pt>
                <c:pt idx="3">
                  <c:v>19</c:v>
                </c:pt>
                <c:pt idx="4">
                  <c:v>5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中断测试!$A$6</c:f>
              <c:strCache>
                <c:ptCount val="1"/>
                <c:pt idx="0">
                  <c:v>20000</c:v>
                </c:pt>
              </c:strCache>
            </c:strRef>
          </c:tx>
          <c:spPr>
            <a:ln w="19050" cap="rnd" cmpd="sng" algn="ctr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中断测试!$A$4:$A$8</c:f>
              <c:numCache>
                <c:formatCode>General</c:formatCode>
                <c:ptCount val="5"/>
                <c:pt idx="0">
                  <c:v>1000</c:v>
                </c:pt>
                <c:pt idx="1">
                  <c:v>10000</c:v>
                </c:pt>
                <c:pt idx="2">
                  <c:v>20000</c:v>
                </c:pt>
                <c:pt idx="3">
                  <c:v>50000</c:v>
                </c:pt>
                <c:pt idx="4">
                  <c:v>100000</c:v>
                </c:pt>
              </c:numCache>
            </c:numRef>
          </c:cat>
          <c:val>
            <c:numRef>
              <c:f>中断测试!$F$4:$F$8</c:f>
              <c:numCache>
                <c:formatCode>General</c:formatCode>
                <c:ptCount val="5"/>
                <c:pt idx="0">
                  <c:v>1000</c:v>
                </c:pt>
                <c:pt idx="1">
                  <c:v>100</c:v>
                </c:pt>
                <c:pt idx="2">
                  <c:v>50</c:v>
                </c:pt>
                <c:pt idx="3">
                  <c:v>21</c:v>
                </c:pt>
                <c:pt idx="4">
                  <c:v>18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100000001"/>
        <c:axId val="100000002"/>
      </c:lineChart>
      <c:catAx>
        <c:axId val="100000001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000002"/>
        <c:crosses val="autoZero"/>
        <c:auto val="1"/>
        <c:lblAlgn val="ctr"/>
        <c:lblOffset val="100"/>
        <c:noMultiLvlLbl val="0"/>
      </c:catAx>
      <c:valAx>
        <c:axId val="10000000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000001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9b93d75-23e6-46ce-bbe8-9c0013d84844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zh-CN" sz="1200" b="1"/>
              <a:t>IPC：周期与平均接收延迟</a:t>
            </a:r>
            <a:endParaRPr lang="zh-CN" sz="1200" b="1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双核间IPC通信!$C$4:$C$8</c:f>
              <c:strCache>
                <c:ptCount val="1"/>
                <c:pt idx="0">
                  <c:v>11.45 12.9 12.55 13 12</c:v>
                </c:pt>
              </c:strCache>
            </c:strRef>
          </c:tx>
          <c:spPr>
            <a:ln w="28575" cap="rnd" cmpd="sng" algn="ctr">
              <a:solidFill>
                <a:srgbClr val="4472C4"/>
              </a:solidFill>
              <a:prstDash val="solid"/>
              <a:round/>
            </a:ln>
          </c:spPr>
          <c:marker>
            <c:symbol val="circle"/>
            <c:size val="6"/>
            <c:spPr>
              <a:ln w="6350" cap="flat" cmpd="sng" algn="ctr">
                <a:solidFill>
                  <a:schemeClr val="accent1"/>
                </a:solidFill>
                <a:prstDash val="solid"/>
                <a:round/>
              </a:ln>
            </c:spPr>
          </c:marker>
          <c:dLbls>
            <c:delete val="1"/>
          </c:dLbls>
          <c:cat>
            <c:numRef>
              <c:f>双核间IPC通信!$A$4:$A$8</c:f>
              <c:numCache>
                <c:formatCode>General</c:formatCode>
                <c:ptCount val="5"/>
                <c:pt idx="0">
                  <c:v>50</c:v>
                </c:pt>
                <c:pt idx="1">
                  <c:v>100</c:v>
                </c:pt>
                <c:pt idx="2">
                  <c:v>200</c:v>
                </c:pt>
                <c:pt idx="3">
                  <c:v>500</c:v>
                </c:pt>
                <c:pt idx="4">
                  <c:v>1000</c:v>
                </c:pt>
              </c:numCache>
            </c:numRef>
          </c:cat>
          <c:val>
            <c:numRef>
              <c:f>双核间IPC通信!$C$4:$C$8</c:f>
              <c:numCache>
                <c:formatCode>General</c:formatCode>
                <c:ptCount val="5"/>
                <c:pt idx="0">
                  <c:v>11.45</c:v>
                </c:pt>
                <c:pt idx="1">
                  <c:v>12.9</c:v>
                </c:pt>
                <c:pt idx="2">
                  <c:v>12.55</c:v>
                </c:pt>
                <c:pt idx="3">
                  <c:v>13</c:v>
                </c:pt>
                <c:pt idx="4">
                  <c:v>12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000001"/>
        <c:axId val="210000002"/>
      </c:lineChart>
      <c:catAx>
        <c:axId val="210000001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sz="900"/>
                  <a:t>周期（µs）</a:t>
                </a:r>
                <a:endParaRPr lang="zh-CN" sz="900"/>
              </a:p>
            </c:rich>
          </c:tx>
          <c:layout/>
          <c:overlay val="0"/>
        </c:title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10000002"/>
        <c:crosses val="autoZero"/>
        <c:auto val="1"/>
        <c:lblAlgn val="ctr"/>
        <c:lblOffset val="100"/>
        <c:noMultiLvlLbl val="0"/>
      </c:catAx>
      <c:valAx>
        <c:axId val="210000002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sz="900"/>
                  <a:t>平均接收延迟（µs）</a:t>
                </a:r>
                <a:endParaRPr lang="zh-CN" sz="900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10000001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ca4694d-9dfb-489c-b84d-78d801cd8b9a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zh-CN" sz="1200" b="1"/>
              <a:t>IPC：周期与错误率</a:t>
            </a:r>
            <a:endParaRPr lang="zh-CN" sz="1200" b="1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双核间IPC通信!$D$4:$D$8</c:f>
              <c:strCache>
                <c:ptCount val="1"/>
                <c:pt idx="0">
                  <c:v>0.073% 0.010% 0.000% 0.000% 0.000%</c:v>
                </c:pt>
              </c:strCache>
            </c:strRef>
          </c:tx>
          <c:spPr>
            <a:ln w="28575" cap="rnd" cmpd="sng" algn="ctr">
              <a:solidFill>
                <a:srgbClr val="4472C4"/>
              </a:solidFill>
              <a:prstDash val="solid"/>
              <a:round/>
            </a:ln>
          </c:spPr>
          <c:marker>
            <c:symbol val="circle"/>
            <c:size val="6"/>
            <c:spPr>
              <a:ln w="6350" cap="flat" cmpd="sng" algn="ctr">
                <a:solidFill>
                  <a:schemeClr val="accent1"/>
                </a:solidFill>
                <a:prstDash val="solid"/>
                <a:round/>
              </a:ln>
            </c:spPr>
          </c:marker>
          <c:dLbls>
            <c:delete val="1"/>
          </c:dLbls>
          <c:cat>
            <c:numRef>
              <c:f>双核间IPC通信!$A$4:$A$8</c:f>
              <c:numCache>
                <c:formatCode>General</c:formatCode>
                <c:ptCount val="5"/>
                <c:pt idx="0">
                  <c:v>50</c:v>
                </c:pt>
                <c:pt idx="1">
                  <c:v>100</c:v>
                </c:pt>
                <c:pt idx="2">
                  <c:v>200</c:v>
                </c:pt>
                <c:pt idx="3">
                  <c:v>500</c:v>
                </c:pt>
                <c:pt idx="4">
                  <c:v>1000</c:v>
                </c:pt>
              </c:numCache>
            </c:numRef>
          </c:cat>
          <c:val>
            <c:numRef>
              <c:f>双核间IPC通信!$D$4:$D$8</c:f>
              <c:numCache>
                <c:formatCode>0.000%</c:formatCode>
                <c:ptCount val="5"/>
                <c:pt idx="0">
                  <c:v>0.00073</c:v>
                </c:pt>
                <c:pt idx="1">
                  <c:v>0.0001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000001"/>
        <c:axId val="210000002"/>
      </c:lineChart>
      <c:catAx>
        <c:axId val="210000001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sz="900"/>
                  <a:t>周期（µs）</a:t>
                </a:r>
                <a:endParaRPr lang="zh-CN" sz="900"/>
              </a:p>
            </c:rich>
          </c:tx>
          <c:layout/>
          <c:overlay val="0"/>
        </c:title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10000002"/>
        <c:crosses val="autoZero"/>
        <c:auto val="1"/>
        <c:lblAlgn val="ctr"/>
        <c:lblOffset val="100"/>
        <c:noMultiLvlLbl val="0"/>
      </c:catAx>
      <c:valAx>
        <c:axId val="210000002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sz="900"/>
                  <a:t>错误率</a:t>
                </a:r>
                <a:endParaRPr lang="zh-CN" sz="900"/>
              </a:p>
            </c:rich>
          </c:tx>
          <c:layout/>
          <c:overlay val="0"/>
        </c:title>
        <c:numFmt formatCode="0.000%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10000001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cd55ffc-3194-48d1-ad19-7beeccc92d46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固定刷新频率提高块时长</a:t>
            </a:r>
          </a:p>
        </c:rich>
      </c:tx>
      <c:layout/>
      <c:overlay val="0"/>
    </c:title>
    <c:autoTitleDeleted val="0"/>
    <c:plotArea>
      <c:layout/>
      <c:scatterChart>
        <c:scatterStyle val="line"/>
        <c:varyColors val="0"/>
        <c:ser>
          <c:idx val="0"/>
          <c:order val="0"/>
          <c:tx>
            <c:strRef>
              <c:f>"TX_Hz"</c:f>
              <c:strCache>
                <c:ptCount val="1"/>
                <c:pt idx="0">
                  <c:v>TX_Hz</c:v>
                </c:pt>
              </c:strCache>
            </c:strRef>
          </c:tx>
          <c:spPr>
            <a:ln w="19050" cap="rnd" cmpd="sng" algn="ctr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xVal>
            <c:numRef>
              <c:f>IIS链路测试!$A$7:$A$16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120</c:v>
                </c:pt>
                <c:pt idx="8">
                  <c:v>240</c:v>
                </c:pt>
                <c:pt idx="9">
                  <c:v>480</c:v>
                </c:pt>
              </c:numCache>
            </c:numRef>
          </c:xVal>
          <c:yVal>
            <c:numRef>
              <c:f>IIS链路测试!$D$7:$D$16</c:f>
              <c:numCache>
                <c:formatCode>0.0</c:formatCode>
                <c:ptCount val="10"/>
                <c:pt idx="0">
                  <c:v>23996.5</c:v>
                </c:pt>
                <c:pt idx="1">
                  <c:v>46437.8</c:v>
                </c:pt>
                <c:pt idx="2">
                  <c:v>48024</c:v>
                </c:pt>
                <c:pt idx="3">
                  <c:v>48024.3</c:v>
                </c:pt>
                <c:pt idx="4">
                  <c:v>48049.9</c:v>
                </c:pt>
                <c:pt idx="5">
                  <c:v>48069.4</c:v>
                </c:pt>
                <c:pt idx="6">
                  <c:v>48041.4</c:v>
                </c:pt>
                <c:pt idx="7">
                  <c:v>48032</c:v>
                </c:pt>
                <c:pt idx="8">
                  <c:v>48039.9</c:v>
                </c:pt>
                <c:pt idx="9">
                  <c:v>48031.9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"RX_Hz"</c:f>
              <c:strCache>
                <c:ptCount val="1"/>
                <c:pt idx="0">
                  <c:v>RX_Hz</c:v>
                </c:pt>
              </c:strCache>
            </c:strRef>
          </c:tx>
          <c:spPr>
            <a:ln w="19050" cap="rnd" cmpd="sng" algn="ctr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xVal>
            <c:numRef>
              <c:f>IIS链路测试!$A$7:$A$16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120</c:v>
                </c:pt>
                <c:pt idx="8">
                  <c:v>240</c:v>
                </c:pt>
                <c:pt idx="9">
                  <c:v>480</c:v>
                </c:pt>
              </c:numCache>
            </c:numRef>
          </c:xVal>
          <c:yVal>
            <c:numRef>
              <c:f>IIS链路测试!$E$7:$E$16</c:f>
              <c:numCache>
                <c:formatCode>0.0</c:formatCode>
                <c:ptCount val="10"/>
                <c:pt idx="0">
                  <c:v>23996.5</c:v>
                </c:pt>
                <c:pt idx="1">
                  <c:v>46437.8</c:v>
                </c:pt>
                <c:pt idx="2">
                  <c:v>48024</c:v>
                </c:pt>
                <c:pt idx="3">
                  <c:v>48024.3</c:v>
                </c:pt>
                <c:pt idx="4">
                  <c:v>48049.9</c:v>
                </c:pt>
                <c:pt idx="5">
                  <c:v>48069.4</c:v>
                </c:pt>
                <c:pt idx="6">
                  <c:v>48041.4</c:v>
                </c:pt>
                <c:pt idx="7">
                  <c:v>48032</c:v>
                </c:pt>
                <c:pt idx="8">
                  <c:v>48039.9</c:v>
                </c:pt>
                <c:pt idx="9">
                  <c:v>48031.9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6125190"/>
        <c:axId val="548972133"/>
      </c:scatterChart>
      <c:valAx>
        <c:axId val="31612519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BLOCK_FRAMES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548972133"/>
        <c:crosses val="autoZero"/>
        <c:crossBetween val="midCat"/>
      </c:valAx>
      <c:valAx>
        <c:axId val="548972133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实际样本采样率</a:t>
                </a:r>
              </a:p>
            </c:rich>
          </c:tx>
          <c:layout/>
          <c:overlay val="0"/>
        </c:title>
        <c:numFmt formatCode="0.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16125190"/>
        <c:crosses val="autoZero"/>
        <c:crossBetween val="midCat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6255112-f435-4ac0-a578-618be40f4fe3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固定10 ms块时长采样率</a:t>
            </a:r>
          </a:p>
        </c:rich>
      </c:tx>
      <c:layout/>
      <c:overlay val="0"/>
    </c:title>
    <c:autoTitleDeleted val="0"/>
    <c:plotArea>
      <c:layout/>
      <c:scatterChart>
        <c:scatterStyle val="line"/>
        <c:varyColors val="0"/>
        <c:ser>
          <c:idx val="0"/>
          <c:order val="0"/>
          <c:tx>
            <c:strRef>
              <c:f>"app_cpu_pct"</c:f>
              <c:strCache>
                <c:ptCount val="1"/>
                <c:pt idx="0">
                  <c:v>app_cpu_pct</c:v>
                </c:pt>
              </c:strCache>
            </c:strRef>
          </c:tx>
          <c:spPr>
            <a:ln w="19050" cap="rnd" cmpd="sng" algn="ctr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xVal>
            <c:numRef>
              <c:f>IIS链路测试!$A$22:$A$27</c:f>
              <c:numCache>
                <c:formatCode>General</c:formatCode>
                <c:ptCount val="6"/>
                <c:pt idx="0">
                  <c:v>16000</c:v>
                </c:pt>
                <c:pt idx="1">
                  <c:v>32000</c:v>
                </c:pt>
                <c:pt idx="2">
                  <c:v>44100</c:v>
                </c:pt>
                <c:pt idx="3">
                  <c:v>48000</c:v>
                </c:pt>
                <c:pt idx="4">
                  <c:v>88200</c:v>
                </c:pt>
                <c:pt idx="5">
                  <c:v>96000</c:v>
                </c:pt>
              </c:numCache>
            </c:numRef>
          </c:xVal>
          <c:yVal>
            <c:numRef>
              <c:f>IIS链路测试!$G$22:$G$27</c:f>
              <c:numCache>
                <c:formatCode>0.00</c:formatCode>
                <c:ptCount val="6"/>
                <c:pt idx="0">
                  <c:v>0.2</c:v>
                </c:pt>
                <c:pt idx="1">
                  <c:v>0.38</c:v>
                </c:pt>
                <c:pt idx="2">
                  <c:v>0.53</c:v>
                </c:pt>
                <c:pt idx="3">
                  <c:v>0.57</c:v>
                </c:pt>
                <c:pt idx="4">
                  <c:v>1.04</c:v>
                </c:pt>
                <c:pt idx="5">
                  <c:v>1.15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2001580"/>
        <c:axId val="111694560"/>
      </c:scatterChart>
      <c:valAx>
        <c:axId val="46200158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Sample rate (Hz)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11694560"/>
        <c:crosses val="autoZero"/>
        <c:crossBetween val="midCat"/>
      </c:valAx>
      <c:valAx>
        <c:axId val="11169456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app_cpu (%)</a:t>
                </a:r>
              </a:p>
            </c:rich>
          </c:tx>
          <c:layout/>
          <c:overlay val="0"/>
        </c:title>
        <c:numFmt formatCode="0.0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62001580"/>
        <c:crosses val="autoZero"/>
        <c:crossBetween val="midCat"/>
      </c:valAx>
    </c:plotArea>
    <c:plotVisOnly val="1"/>
    <c:dispBlanksAs val="gap"/>
    <c:showDLblsOverMax val="0"/>
    <c:extLst>
      <c:ext uri="{0b15fc19-7d7d-44ad-8c2d-2c3a37ce22c3}">
        <chartProps xmlns="https://web.wps.cn/et/2018/main" chartId="{4b8b2a6f-2309-462f-a601-c6717a0c2698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控件数量与</a:t>
            </a:r>
            <a:r>
              <a:rPr lang="en-US" altLang="zh-CN"/>
              <a:t>CPU</a:t>
            </a:r>
            <a:r>
              <a:rPr altLang="en-US"/>
              <a:t>占用率和帧率关系图</a:t>
            </a:r>
            <a:endParaRPr lang="en-US" altLang="zh-CN"/>
          </a:p>
        </c:rich>
      </c:tx>
      <c:layout/>
      <c:overlay val="0"/>
    </c:title>
    <c:autoTitleDeleted val="0"/>
    <c:plotArea>
      <c:layout/>
      <c:scatterChart>
        <c:scatterStyle val="line"/>
        <c:varyColors val="0"/>
        <c:ser>
          <c:idx val="0"/>
          <c:order val="0"/>
          <c:tx>
            <c:strRef>
              <c:f>"FPS"</c:f>
              <c:strCache>
                <c:ptCount val="1"/>
                <c:pt idx="0">
                  <c:v>FPS</c:v>
                </c:pt>
              </c:strCache>
            </c:strRef>
          </c:tx>
          <c:spPr>
            <a:ln w="19050" cap="rnd" cmpd="sng" algn="ctr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xVal>
            <c:numRef>
              <c:f>LVGL负载!$A$7:$A$13</c:f>
              <c:numCache>
                <c:formatCode>General</c:formatCode>
                <c:ptCount val="7"/>
                <c:pt idx="0">
                  <c:v>4</c:v>
                </c:pt>
                <c:pt idx="1">
                  <c:v>8</c:v>
                </c:pt>
                <c:pt idx="2">
                  <c:v>16</c:v>
                </c:pt>
                <c:pt idx="3">
                  <c:v>32</c:v>
                </c:pt>
                <c:pt idx="4">
                  <c:v>64</c:v>
                </c:pt>
                <c:pt idx="5">
                  <c:v>128</c:v>
                </c:pt>
                <c:pt idx="6">
                  <c:v>256</c:v>
                </c:pt>
              </c:numCache>
            </c:numRef>
          </c:xVal>
          <c:yVal>
            <c:numRef>
              <c:f>LVGL负载!$B$7:$B$13</c:f>
              <c:numCache>
                <c:formatCode>0.00</c:formatCode>
                <c:ptCount val="7"/>
                <c:pt idx="0">
                  <c:v>29.33</c:v>
                </c:pt>
                <c:pt idx="1">
                  <c:v>29.33</c:v>
                </c:pt>
                <c:pt idx="2">
                  <c:v>29.2</c:v>
                </c:pt>
                <c:pt idx="3">
                  <c:v>17.7</c:v>
                </c:pt>
                <c:pt idx="4">
                  <c:v>14.21</c:v>
                </c:pt>
                <c:pt idx="5">
                  <c:v>14.18</c:v>
                </c:pt>
                <c:pt idx="6">
                  <c:v>13.23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8230356"/>
        <c:axId val="461896582"/>
      </c:scatterChart>
      <c:scatterChart>
        <c:scatterStyle val="line"/>
        <c:varyColors val="0"/>
        <c:ser>
          <c:idx val="1"/>
          <c:order val="1"/>
          <c:tx>
            <c:strRef>
              <c:f>"CPU1 load"</c:f>
              <c:strCache>
                <c:ptCount val="1"/>
                <c:pt idx="0">
                  <c:v>CPU1 load</c:v>
                </c:pt>
              </c:strCache>
            </c:strRef>
          </c:tx>
          <c:spPr>
            <a:ln w="19050" cap="rnd" cmpd="sng" algn="ctr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xVal>
            <c:numRef>
              <c:f>LVGL负载!$A$7:$A$13</c:f>
              <c:numCache>
                <c:formatCode>General</c:formatCode>
                <c:ptCount val="7"/>
                <c:pt idx="0">
                  <c:v>4</c:v>
                </c:pt>
                <c:pt idx="1">
                  <c:v>8</c:v>
                </c:pt>
                <c:pt idx="2">
                  <c:v>16</c:v>
                </c:pt>
                <c:pt idx="3">
                  <c:v>32</c:v>
                </c:pt>
                <c:pt idx="4">
                  <c:v>64</c:v>
                </c:pt>
                <c:pt idx="5">
                  <c:v>128</c:v>
                </c:pt>
                <c:pt idx="6">
                  <c:v>256</c:v>
                </c:pt>
              </c:numCache>
            </c:numRef>
          </c:xVal>
          <c:yVal>
            <c:numRef>
              <c:f>LVGL负载!$C$7:$C$13</c:f>
              <c:numCache>
                <c:formatCode>0.00</c:formatCode>
                <c:ptCount val="7"/>
                <c:pt idx="0">
                  <c:v>0.647</c:v>
                </c:pt>
                <c:pt idx="1">
                  <c:v>0.637</c:v>
                </c:pt>
                <c:pt idx="2">
                  <c:v>0.883</c:v>
                </c:pt>
                <c:pt idx="3">
                  <c:v>0.794</c:v>
                </c:pt>
                <c:pt idx="4">
                  <c:v>0.863</c:v>
                </c:pt>
                <c:pt idx="5">
                  <c:v>0.92</c:v>
                </c:pt>
                <c:pt idx="6">
                  <c:v>0.979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"LVGL load"</c:f>
              <c:strCache>
                <c:ptCount val="1"/>
                <c:pt idx="0">
                  <c:v>LVGL load</c:v>
                </c:pt>
              </c:strCache>
            </c:strRef>
          </c:tx>
          <c:spPr>
            <a:ln w="19050" cap="rnd" cmpd="sng" algn="ctr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xVal>
            <c:numRef>
              <c:f>LVGL负载!$A$7:$A$13</c:f>
              <c:numCache>
                <c:formatCode>General</c:formatCode>
                <c:ptCount val="7"/>
                <c:pt idx="0">
                  <c:v>4</c:v>
                </c:pt>
                <c:pt idx="1">
                  <c:v>8</c:v>
                </c:pt>
                <c:pt idx="2">
                  <c:v>16</c:v>
                </c:pt>
                <c:pt idx="3">
                  <c:v>32</c:v>
                </c:pt>
                <c:pt idx="4">
                  <c:v>64</c:v>
                </c:pt>
                <c:pt idx="5">
                  <c:v>128</c:v>
                </c:pt>
                <c:pt idx="6">
                  <c:v>256</c:v>
                </c:pt>
              </c:numCache>
            </c:numRef>
          </c:xVal>
          <c:yVal>
            <c:numRef>
              <c:f>LVGL负载!$D$7:$D$13</c:f>
              <c:numCache>
                <c:formatCode>0.00</c:formatCode>
                <c:ptCount val="7"/>
                <c:pt idx="1">
                  <c:v>0.57</c:v>
                </c:pt>
                <c:pt idx="2">
                  <c:v>0.932</c:v>
                </c:pt>
                <c:pt idx="3">
                  <c:v>0.996</c:v>
                </c:pt>
                <c:pt idx="4">
                  <c:v>0.997</c:v>
                </c:pt>
                <c:pt idx="5">
                  <c:v>0.997</c:v>
                </c:pt>
                <c:pt idx="6">
                  <c:v>0.997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3747685"/>
        <c:axId val="274193382"/>
      </c:scatterChart>
      <c:valAx>
        <c:axId val="308230356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Control count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61896582"/>
        <c:crosses val="autoZero"/>
        <c:crossBetween val="midCat"/>
      </c:valAx>
      <c:valAx>
        <c:axId val="461896582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Frame rate (fps)</a:t>
                </a:r>
              </a:p>
            </c:rich>
          </c:tx>
          <c:layout/>
          <c:overlay val="0"/>
        </c:title>
        <c:numFmt formatCode="0.0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08230356"/>
        <c:crosses val="autoZero"/>
        <c:crossBetween val="midCat"/>
      </c:valAx>
      <c:valAx>
        <c:axId val="393747685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74193382"/>
        <c:crosses val="max"/>
        <c:crossBetween val="midCat"/>
      </c:valAx>
      <c:valAx>
        <c:axId val="274193382"/>
        <c:scaling>
          <c:orientation val="minMax"/>
        </c:scaling>
        <c:delete val="0"/>
        <c:axPos val="r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CPU / LVGL load</a:t>
                </a:r>
              </a:p>
            </c:rich>
          </c:tx>
          <c:layout/>
          <c:overlay val="0"/>
        </c:title>
        <c:numFmt formatCode="0.0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93747685"/>
        <c:crosses val="max"/>
        <c:crossBetween val="midCat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dd84e6f-bd1c-450f-905a-389d40c01e9c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LVGL</a:t>
            </a:r>
            <a:r>
              <a:t>刷新率与CPU占用率和帧率关系图</a:t>
            </a:r>
          </a:p>
          <a:p>
            <a:pPr defTabSz="914400"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c:rich>
      </c:tx>
      <c:layout/>
      <c:overlay val="0"/>
    </c:title>
    <c:autoTitleDeleted val="0"/>
    <c:plotArea>
      <c:layout/>
      <c:scatterChart>
        <c:scatterStyle val="line"/>
        <c:varyColors val="0"/>
        <c:ser>
          <c:idx val="0"/>
          <c:order val="0"/>
          <c:tx>
            <c:strRef>
              <c:f>"FPS"</c:f>
              <c:strCache>
                <c:ptCount val="1"/>
                <c:pt idx="0">
                  <c:v>FPS</c:v>
                </c:pt>
              </c:strCache>
            </c:strRef>
          </c:tx>
          <c:spPr>
            <a:ln w="19050" cap="rnd" cmpd="sng" algn="ctr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xVal>
            <c:numRef>
              <c:f>LVGL负载!$B$18:$B$23</c:f>
              <c:numCache>
                <c:formatCode>0.00</c:formatCode>
                <c:ptCount val="6"/>
                <c:pt idx="0">
                  <c:v>15.625</c:v>
                </c:pt>
                <c:pt idx="1">
                  <c:v>31.25</c:v>
                </c:pt>
                <c:pt idx="2">
                  <c:v>62.5</c:v>
                </c:pt>
                <c:pt idx="3">
                  <c:v>125</c:v>
                </c:pt>
                <c:pt idx="4">
                  <c:v>250</c:v>
                </c:pt>
                <c:pt idx="5">
                  <c:v>1000</c:v>
                </c:pt>
              </c:numCache>
            </c:numRef>
          </c:xVal>
          <c:yVal>
            <c:numRef>
              <c:f>LVGL负载!$C$18:$C$23</c:f>
              <c:numCache>
                <c:formatCode>0.00</c:formatCode>
                <c:ptCount val="6"/>
                <c:pt idx="0">
                  <c:v>15.13</c:v>
                </c:pt>
                <c:pt idx="1">
                  <c:v>28</c:v>
                </c:pt>
                <c:pt idx="2">
                  <c:v>28.2</c:v>
                </c:pt>
                <c:pt idx="3">
                  <c:v>28.1</c:v>
                </c:pt>
                <c:pt idx="4">
                  <c:v>27.86</c:v>
                </c:pt>
                <c:pt idx="5">
                  <c:v>27.79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7835892"/>
        <c:axId val="140325502"/>
      </c:scatterChart>
      <c:scatterChart>
        <c:scatterStyle val="line"/>
        <c:varyColors val="0"/>
        <c:ser>
          <c:idx val="1"/>
          <c:order val="1"/>
          <c:tx>
            <c:strRef>
              <c:f>"CPU1 load"</c:f>
              <c:strCache>
                <c:ptCount val="1"/>
                <c:pt idx="0">
                  <c:v>CPU1 load</c:v>
                </c:pt>
              </c:strCache>
            </c:strRef>
          </c:tx>
          <c:spPr>
            <a:ln w="19050" cap="rnd" cmpd="sng" algn="ctr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xVal>
            <c:numRef>
              <c:f>LVGL负载!$B$18:$B$23</c:f>
              <c:numCache>
                <c:formatCode>0.00</c:formatCode>
                <c:ptCount val="6"/>
                <c:pt idx="0">
                  <c:v>15.625</c:v>
                </c:pt>
                <c:pt idx="1">
                  <c:v>31.25</c:v>
                </c:pt>
                <c:pt idx="2">
                  <c:v>62.5</c:v>
                </c:pt>
                <c:pt idx="3">
                  <c:v>125</c:v>
                </c:pt>
                <c:pt idx="4">
                  <c:v>250</c:v>
                </c:pt>
                <c:pt idx="5">
                  <c:v>1000</c:v>
                </c:pt>
              </c:numCache>
            </c:numRef>
          </c:xVal>
          <c:yVal>
            <c:numRef>
              <c:f>LVGL负载!$D$18:$D$23</c:f>
              <c:numCache>
                <c:formatCode>0.00</c:formatCode>
                <c:ptCount val="6"/>
                <c:pt idx="0">
                  <c:v>0.67</c:v>
                </c:pt>
                <c:pt idx="1">
                  <c:v>0.879</c:v>
                </c:pt>
                <c:pt idx="2">
                  <c:v>0.883</c:v>
                </c:pt>
                <c:pt idx="3">
                  <c:v>0.873</c:v>
                </c:pt>
                <c:pt idx="4">
                  <c:v>0.87</c:v>
                </c:pt>
                <c:pt idx="5">
                  <c:v>0.87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"LVGL load"</c:f>
              <c:strCache>
                <c:ptCount val="1"/>
                <c:pt idx="0">
                  <c:v>LVGL load</c:v>
                </c:pt>
              </c:strCache>
            </c:strRef>
          </c:tx>
          <c:spPr>
            <a:ln w="19050" cap="rnd" cmpd="sng" algn="ctr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xVal>
            <c:numRef>
              <c:f>LVGL负载!$B$18:$B$23</c:f>
              <c:numCache>
                <c:formatCode>0.00</c:formatCode>
                <c:ptCount val="6"/>
                <c:pt idx="0">
                  <c:v>15.625</c:v>
                </c:pt>
                <c:pt idx="1">
                  <c:v>31.25</c:v>
                </c:pt>
                <c:pt idx="2">
                  <c:v>62.5</c:v>
                </c:pt>
                <c:pt idx="3">
                  <c:v>125</c:v>
                </c:pt>
                <c:pt idx="4">
                  <c:v>250</c:v>
                </c:pt>
                <c:pt idx="5">
                  <c:v>1000</c:v>
                </c:pt>
              </c:numCache>
            </c:numRef>
          </c:xVal>
          <c:yVal>
            <c:numRef>
              <c:f>LVGL负载!$E$18:$E$23</c:f>
              <c:numCache>
                <c:formatCode>0.00</c:formatCode>
                <c:ptCount val="6"/>
                <c:pt idx="0">
                  <c:v>0.677</c:v>
                </c:pt>
                <c:pt idx="1">
                  <c:v>0.936</c:v>
                </c:pt>
                <c:pt idx="2">
                  <c:v>0.932</c:v>
                </c:pt>
                <c:pt idx="3">
                  <c:v>0.938</c:v>
                </c:pt>
                <c:pt idx="4">
                  <c:v>0.945</c:v>
                </c:pt>
                <c:pt idx="5">
                  <c:v>0.96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8932879"/>
        <c:axId val="77839493"/>
      </c:scatterChart>
      <c:valAx>
        <c:axId val="637835892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Refresh frequency (Hz)</a:t>
                </a:r>
              </a:p>
            </c:rich>
          </c:tx>
          <c:layout/>
          <c:overlay val="0"/>
        </c:title>
        <c:numFmt formatCode="0.0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40325502"/>
        <c:crosses val="autoZero"/>
        <c:crossBetween val="midCat"/>
      </c:valAx>
      <c:valAx>
        <c:axId val="140325502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Frame rate (fps)</a:t>
                </a:r>
              </a:p>
            </c:rich>
          </c:tx>
          <c:layout/>
          <c:overlay val="0"/>
        </c:title>
        <c:numFmt formatCode="0.0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637835892"/>
        <c:crosses val="autoZero"/>
        <c:crossBetween val="midCat"/>
      </c:valAx>
      <c:valAx>
        <c:axId val="618932879"/>
        <c:scaling>
          <c:orientation val="minMax"/>
        </c:scaling>
        <c:delete val="0"/>
        <c:axPos val="t"/>
        <c:numFmt formatCode="0.0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77839493"/>
        <c:crosses val="max"/>
        <c:crossBetween val="midCat"/>
      </c:valAx>
      <c:valAx>
        <c:axId val="77839493"/>
        <c:scaling>
          <c:orientation val="minMax"/>
        </c:scaling>
        <c:delete val="0"/>
        <c:axPos val="r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CPU / LVGL load</a:t>
                </a:r>
              </a:p>
            </c:rich>
          </c:tx>
          <c:layout/>
          <c:overlay val="0"/>
        </c:title>
        <c:numFmt formatCode="0.0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618932879"/>
        <c:crosses val="max"/>
        <c:crossBetween val="midCat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47937f9-15ae-4aa2-b89e-bf21d33fd903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86360</xdr:colOff>
      <xdr:row>3</xdr:row>
      <xdr:rowOff>45085</xdr:rowOff>
    </xdr:from>
    <xdr:to>
      <xdr:col>15</xdr:col>
      <xdr:colOff>0</xdr:colOff>
      <xdr:row>14</xdr:row>
      <xdr:rowOff>0</xdr:rowOff>
    </xdr:to>
    <xdr:graphicFrame>
      <xdr:nvGraphicFramePr>
        <xdr:cNvPr id="2" name="Chart 1"/>
        <xdr:cNvGraphicFramePr/>
      </xdr:nvGraphicFramePr>
      <xdr:xfrm>
        <a:off x="8849995" y="737235"/>
        <a:ext cx="6771640" cy="49650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0</xdr:colOff>
      <xdr:row>1</xdr:row>
      <xdr:rowOff>0</xdr:rowOff>
    </xdr:from>
    <xdr:to>
      <xdr:col>19</xdr:col>
      <xdr:colOff>0</xdr:colOff>
      <xdr:row>16</xdr:row>
      <xdr:rowOff>0</xdr:rowOff>
    </xdr:to>
    <xdr:graphicFrame>
      <xdr:nvGraphicFramePr>
        <xdr:cNvPr id="2" name="Chart 1"/>
        <xdr:cNvGraphicFramePr/>
      </xdr:nvGraphicFramePr>
      <xdr:xfrm>
        <a:off x="14579600" y="273050"/>
        <a:ext cx="9994900" cy="81343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0</xdr:colOff>
      <xdr:row>1</xdr:row>
      <xdr:rowOff>0</xdr:rowOff>
    </xdr:from>
    <xdr:to>
      <xdr:col>31</xdr:col>
      <xdr:colOff>0</xdr:colOff>
      <xdr:row>16</xdr:row>
      <xdr:rowOff>0</xdr:rowOff>
    </xdr:to>
    <xdr:graphicFrame>
      <xdr:nvGraphicFramePr>
        <xdr:cNvPr id="3" name="Chart 2"/>
        <xdr:cNvGraphicFramePr/>
      </xdr:nvGraphicFramePr>
      <xdr:xfrm>
        <a:off x="25260300" y="273050"/>
        <a:ext cx="7543800" cy="81343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17</xdr:row>
      <xdr:rowOff>0</xdr:rowOff>
    </xdr:from>
    <xdr:to>
      <xdr:col>19</xdr:col>
      <xdr:colOff>0</xdr:colOff>
      <xdr:row>32</xdr:row>
      <xdr:rowOff>0</xdr:rowOff>
    </xdr:to>
    <xdr:graphicFrame>
      <xdr:nvGraphicFramePr>
        <xdr:cNvPr id="4" name="Chart 3"/>
        <xdr:cNvGraphicFramePr/>
      </xdr:nvGraphicFramePr>
      <xdr:xfrm>
        <a:off x="14579600" y="8616950"/>
        <a:ext cx="9994900" cy="31432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0</xdr:colOff>
      <xdr:row>17</xdr:row>
      <xdr:rowOff>0</xdr:rowOff>
    </xdr:from>
    <xdr:to>
      <xdr:col>31</xdr:col>
      <xdr:colOff>0</xdr:colOff>
      <xdr:row>32</xdr:row>
      <xdr:rowOff>0</xdr:rowOff>
    </xdr:to>
    <xdr:graphicFrame>
      <xdr:nvGraphicFramePr>
        <xdr:cNvPr id="5" name="Chart 4"/>
        <xdr:cNvGraphicFramePr/>
      </xdr:nvGraphicFramePr>
      <xdr:xfrm>
        <a:off x="25260300" y="8616950"/>
        <a:ext cx="7543800" cy="31432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0</xdr:colOff>
      <xdr:row>33</xdr:row>
      <xdr:rowOff>0</xdr:rowOff>
    </xdr:from>
    <xdr:to>
      <xdr:col>19</xdr:col>
      <xdr:colOff>0</xdr:colOff>
      <xdr:row>48</xdr:row>
      <xdr:rowOff>0</xdr:rowOff>
    </xdr:to>
    <xdr:graphicFrame>
      <xdr:nvGraphicFramePr>
        <xdr:cNvPr id="6" name="Chart 5"/>
        <xdr:cNvGraphicFramePr/>
      </xdr:nvGraphicFramePr>
      <xdr:xfrm>
        <a:off x="14579600" y="11969750"/>
        <a:ext cx="9994900" cy="31432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0</xdr:colOff>
      <xdr:row>33</xdr:row>
      <xdr:rowOff>0</xdr:rowOff>
    </xdr:from>
    <xdr:to>
      <xdr:col>31</xdr:col>
      <xdr:colOff>0</xdr:colOff>
      <xdr:row>48</xdr:row>
      <xdr:rowOff>0</xdr:rowOff>
    </xdr:to>
    <xdr:graphicFrame>
      <xdr:nvGraphicFramePr>
        <xdr:cNvPr id="7" name="Chart 6"/>
        <xdr:cNvGraphicFramePr/>
      </xdr:nvGraphicFramePr>
      <xdr:xfrm>
        <a:off x="25260300" y="11969750"/>
        <a:ext cx="7543800" cy="31432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0</xdr:colOff>
      <xdr:row>1</xdr:row>
      <xdr:rowOff>0</xdr:rowOff>
    </xdr:from>
    <xdr:to>
      <xdr:col>21</xdr:col>
      <xdr:colOff>0</xdr:colOff>
      <xdr:row>21</xdr:row>
      <xdr:rowOff>0</xdr:rowOff>
    </xdr:to>
    <xdr:graphicFrame>
      <xdr:nvGraphicFramePr>
        <xdr:cNvPr id="2" name="Chart 1"/>
        <xdr:cNvGraphicFramePr/>
      </xdr:nvGraphicFramePr>
      <xdr:xfrm>
        <a:off x="12738100" y="304800"/>
        <a:ext cx="8229600" cy="5651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0</xdr:colOff>
      <xdr:row>1</xdr:row>
      <xdr:rowOff>0</xdr:rowOff>
    </xdr:from>
    <xdr:to>
      <xdr:col>14</xdr:col>
      <xdr:colOff>0</xdr:colOff>
      <xdr:row>12</xdr:row>
      <xdr:rowOff>0</xdr:rowOff>
    </xdr:to>
    <xdr:graphicFrame>
      <xdr:nvGraphicFramePr>
        <xdr:cNvPr id="2" name="Chart 1"/>
        <xdr:cNvGraphicFramePr/>
      </xdr:nvGraphicFramePr>
      <xdr:xfrm>
        <a:off x="6677025" y="304800"/>
        <a:ext cx="6858000" cy="2921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13</xdr:row>
      <xdr:rowOff>0</xdr:rowOff>
    </xdr:from>
    <xdr:to>
      <xdr:col>14</xdr:col>
      <xdr:colOff>0</xdr:colOff>
      <xdr:row>24</xdr:row>
      <xdr:rowOff>0</xdr:rowOff>
    </xdr:to>
    <xdr:graphicFrame>
      <xdr:nvGraphicFramePr>
        <xdr:cNvPr id="3" name="Chart 2"/>
        <xdr:cNvGraphicFramePr/>
      </xdr:nvGraphicFramePr>
      <xdr:xfrm>
        <a:off x="6677025" y="3435350"/>
        <a:ext cx="6858000" cy="23050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590550</xdr:colOff>
      <xdr:row>2</xdr:row>
      <xdr:rowOff>38100</xdr:rowOff>
    </xdr:from>
    <xdr:to>
      <xdr:col>20</xdr:col>
      <xdr:colOff>82550</xdr:colOff>
      <xdr:row>20</xdr:row>
      <xdr:rowOff>38100</xdr:rowOff>
    </xdr:to>
    <xdr:graphicFrame>
      <xdr:nvGraphicFramePr>
        <xdr:cNvPr id="2" name="Chart 1"/>
        <xdr:cNvGraphicFramePr/>
      </xdr:nvGraphicFramePr>
      <xdr:xfrm>
        <a:off x="15398115" y="520700"/>
        <a:ext cx="7112000" cy="53911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596900</xdr:colOff>
      <xdr:row>23</xdr:row>
      <xdr:rowOff>82550</xdr:rowOff>
    </xdr:from>
    <xdr:to>
      <xdr:col>20</xdr:col>
      <xdr:colOff>88900</xdr:colOff>
      <xdr:row>32</xdr:row>
      <xdr:rowOff>69850</xdr:rowOff>
    </xdr:to>
    <xdr:graphicFrame>
      <xdr:nvGraphicFramePr>
        <xdr:cNvPr id="3" name="Chart 2"/>
        <xdr:cNvGraphicFramePr/>
      </xdr:nvGraphicFramePr>
      <xdr:xfrm>
        <a:off x="15404465" y="6584950"/>
        <a:ext cx="7112000" cy="2565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692150</xdr:colOff>
      <xdr:row>1</xdr:row>
      <xdr:rowOff>63500</xdr:rowOff>
    </xdr:from>
    <xdr:to>
      <xdr:col>19</xdr:col>
      <xdr:colOff>57150</xdr:colOff>
      <xdr:row>18</xdr:row>
      <xdr:rowOff>38100</xdr:rowOff>
    </xdr:to>
    <xdr:graphicFrame>
      <xdr:nvGraphicFramePr>
        <xdr:cNvPr id="2" name="Chart 1"/>
        <xdr:cNvGraphicFramePr/>
      </xdr:nvGraphicFramePr>
      <xdr:xfrm>
        <a:off x="11042650" y="336550"/>
        <a:ext cx="7747000" cy="41783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6350</xdr:colOff>
      <xdr:row>20</xdr:row>
      <xdr:rowOff>50800</xdr:rowOff>
    </xdr:from>
    <xdr:to>
      <xdr:col>19</xdr:col>
      <xdr:colOff>133350</xdr:colOff>
      <xdr:row>34</xdr:row>
      <xdr:rowOff>38100</xdr:rowOff>
    </xdr:to>
    <xdr:graphicFrame>
      <xdr:nvGraphicFramePr>
        <xdr:cNvPr id="3" name="Chart 2"/>
        <xdr:cNvGraphicFramePr/>
      </xdr:nvGraphicFramePr>
      <xdr:xfrm>
        <a:off x="11118850" y="4946650"/>
        <a:ext cx="7747000" cy="39751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zoomScale="70" zoomScaleNormal="70" workbookViewId="0">
      <pane ySplit="1" topLeftCell="A2" activePane="bottomLeft" state="frozen"/>
      <selection/>
      <selection pane="bottomLeft" activeCell="D24" sqref="D24"/>
    </sheetView>
  </sheetViews>
  <sheetFormatPr defaultColWidth="8.30769230769231" defaultRowHeight="16.5" outlineLevelRow="7" outlineLevelCol="3"/>
  <cols>
    <col min="1" max="1" width="24.3923076923077" style="1" customWidth="1"/>
    <col min="2" max="2" width="29.4615384615385" style="1" customWidth="1"/>
    <col min="3" max="4" width="22" style="1" customWidth="1"/>
  </cols>
  <sheetData>
    <row r="1" ht="21.5" customHeight="1" spans="1:4">
      <c r="A1" s="31" t="s">
        <v>0</v>
      </c>
    </row>
    <row r="2" spans="1:4">
      <c r="A2" s="41" t="s">
        <v>1</v>
      </c>
      <c r="B2" s="41" t="s">
        <v>2</v>
      </c>
      <c r="C2" s="41" t="s">
        <v>3</v>
      </c>
      <c r="D2" s="41" t="s">
        <v>4</v>
      </c>
    </row>
    <row r="3" spans="1:4">
      <c r="A3" s="36" t="s">
        <v>5</v>
      </c>
      <c r="B3" s="36">
        <v>496.07</v>
      </c>
      <c r="C3" s="36">
        <v>496.71</v>
      </c>
      <c r="D3" s="36">
        <v>497.14</v>
      </c>
    </row>
    <row r="4" spans="1:4">
      <c r="A4" s="36" t="s">
        <v>6</v>
      </c>
      <c r="B4" s="36">
        <v>495.99</v>
      </c>
      <c r="C4" s="36">
        <v>490.49</v>
      </c>
      <c r="D4" s="36">
        <v>98.32</v>
      </c>
    </row>
    <row r="5" spans="1:4">
      <c r="A5" s="36" t="s">
        <v>7</v>
      </c>
      <c r="B5" s="36">
        <v>496.22</v>
      </c>
      <c r="C5" s="36">
        <v>491.73</v>
      </c>
      <c r="D5" s="36">
        <v>112.78</v>
      </c>
    </row>
    <row r="6" spans="1:4">
      <c r="A6" s="36" t="s">
        <v>8</v>
      </c>
      <c r="B6" s="36">
        <v>482.41</v>
      </c>
      <c r="C6" s="36">
        <v>53.36</v>
      </c>
      <c r="D6" s="36">
        <v>53.41</v>
      </c>
    </row>
    <row r="7" ht="144" customHeight="1" spans="1:4">
      <c r="A7" s="67" t="s">
        <v>9</v>
      </c>
      <c r="B7" s="40" t="s">
        <v>10</v>
      </c>
    </row>
    <row r="8" ht="102" customHeight="1" spans="1:4">
      <c r="A8" t="s">
        <v>11</v>
      </c>
      <c r="B8" s="25" t="s">
        <v>12</v>
      </c>
    </row>
  </sheetData>
  <pageMargins left="0.3" right="0.3" top="0.5" bottom="0.5" header="0.2" footer="0.2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zoomScale="70" zoomScaleNormal="70" workbookViewId="0">
      <pane ySplit="1" topLeftCell="A6" activePane="bottomLeft" state="frozen"/>
      <selection/>
      <selection pane="bottomLeft" activeCell="A10" sqref="A10:A11"/>
    </sheetView>
  </sheetViews>
  <sheetFormatPr defaultColWidth="8.30769230769231" defaultRowHeight="16.5" outlineLevelCol="6"/>
  <cols>
    <col min="1" max="1" width="54.6153846153846" style="1" customWidth="1"/>
    <col min="2" max="3" width="16" style="1" customWidth="1"/>
    <col min="4" max="8" width="18" style="1" customWidth="1"/>
    <col min="9" max="9" width="38" style="1" customWidth="1"/>
  </cols>
  <sheetData>
    <row r="1" ht="21.5" customHeight="1" spans="1:7">
      <c r="A1" s="31" t="s">
        <v>0</v>
      </c>
    </row>
    <row r="2" spans="1:7">
      <c r="A2" s="41" t="s">
        <v>1</v>
      </c>
      <c r="B2" s="41" t="s">
        <v>13</v>
      </c>
      <c r="C2" s="41" t="s">
        <v>2</v>
      </c>
      <c r="D2" s="41" t="s">
        <v>3</v>
      </c>
      <c r="E2" s="41" t="s">
        <v>4</v>
      </c>
      <c r="F2" s="41" t="s">
        <v>11</v>
      </c>
      <c r="G2" s="41"/>
    </row>
    <row r="3" ht="88" customHeight="1" spans="1:7">
      <c r="A3" s="36" t="s">
        <v>14</v>
      </c>
      <c r="B3" s="36" t="s">
        <v>15</v>
      </c>
      <c r="C3" s="36">
        <v>28.93</v>
      </c>
      <c r="D3" s="36">
        <v>3.89</v>
      </c>
      <c r="E3" s="36">
        <v>3.9</v>
      </c>
      <c r="F3" s="25" t="s">
        <v>16</v>
      </c>
    </row>
    <row r="4" ht="37" customHeight="1" spans="1:7">
      <c r="A4" s="64" t="s">
        <v>17</v>
      </c>
      <c r="B4" s="64" t="s">
        <v>18</v>
      </c>
      <c r="C4" s="36" t="s">
        <v>19</v>
      </c>
      <c r="D4" s="36" t="s">
        <v>20</v>
      </c>
      <c r="E4" s="36" t="s">
        <v>21</v>
      </c>
      <c r="F4" s="65" t="s">
        <v>22</v>
      </c>
    </row>
    <row r="5" spans="1:7">
      <c r="A5" s="66"/>
      <c r="B5" s="66"/>
      <c r="C5" s="36" t="s">
        <v>23</v>
      </c>
      <c r="D5" s="36" t="s">
        <v>24</v>
      </c>
      <c r="E5" s="36" t="s">
        <v>21</v>
      </c>
    </row>
    <row r="6" ht="72" customHeight="1" spans="1:7">
      <c r="A6" s="64" t="s">
        <v>25</v>
      </c>
      <c r="B6" s="64" t="s">
        <v>26</v>
      </c>
      <c r="C6" s="36">
        <v>31.4</v>
      </c>
      <c r="D6" s="36">
        <v>31.41</v>
      </c>
      <c r="E6" s="36">
        <v>31.43</v>
      </c>
      <c r="F6" s="65" t="s">
        <v>27</v>
      </c>
    </row>
    <row r="7" ht="72" customHeight="1" spans="1:7">
      <c r="A7" s="66"/>
      <c r="B7" s="66"/>
      <c r="C7" s="36">
        <v>31.4</v>
      </c>
      <c r="D7" s="36">
        <v>31.41</v>
      </c>
      <c r="E7" s="36">
        <v>31.43</v>
      </c>
    </row>
    <row r="8" ht="68" customHeight="1" spans="1:7">
      <c r="A8" s="64" t="s">
        <v>28</v>
      </c>
      <c r="B8" s="64" t="s">
        <v>29</v>
      </c>
      <c r="C8" s="36">
        <v>481.91</v>
      </c>
      <c r="D8" s="36">
        <v>53.35</v>
      </c>
      <c r="E8" s="36">
        <v>53.44</v>
      </c>
      <c r="F8" s="65" t="s">
        <v>30</v>
      </c>
    </row>
    <row r="9" ht="67" customHeight="1" spans="1:7">
      <c r="A9" s="66"/>
      <c r="B9" s="66"/>
      <c r="C9" s="36">
        <v>495.67</v>
      </c>
      <c r="D9" s="36">
        <v>496.55</v>
      </c>
      <c r="E9" s="36">
        <v>497.06</v>
      </c>
    </row>
    <row r="10" ht="71" customHeight="1" spans="1:7">
      <c r="A10" s="64" t="s">
        <v>31</v>
      </c>
      <c r="B10" s="64" t="s">
        <v>32</v>
      </c>
      <c r="C10" s="36">
        <v>487.14</v>
      </c>
      <c r="D10" s="36">
        <v>49.19</v>
      </c>
      <c r="E10" s="36">
        <v>49.21</v>
      </c>
      <c r="F10" s="65" t="s">
        <v>33</v>
      </c>
    </row>
    <row r="11" ht="50" customHeight="1" spans="1:7">
      <c r="A11" s="66"/>
      <c r="B11" s="66"/>
      <c r="C11" s="36">
        <v>484</v>
      </c>
      <c r="D11" s="36">
        <v>49.21</v>
      </c>
      <c r="E11" s="36">
        <v>49.21</v>
      </c>
    </row>
  </sheetData>
  <mergeCells count="12">
    <mergeCell ref="A4:A5"/>
    <mergeCell ref="A6:A7"/>
    <mergeCell ref="A8:A9"/>
    <mergeCell ref="A10:A11"/>
    <mergeCell ref="B4:B5"/>
    <mergeCell ref="B6:B7"/>
    <mergeCell ref="B8:B9"/>
    <mergeCell ref="B10:B11"/>
    <mergeCell ref="F4:F5"/>
    <mergeCell ref="F6:F7"/>
    <mergeCell ref="F8:F9"/>
    <mergeCell ref="F10:F11"/>
  </mergeCells>
  <pageMargins left="0.3" right="0.3" top="0.5" bottom="0.5" header="0.2" footer="0.2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zoomScale="85" zoomScaleNormal="85" workbookViewId="0">
      <selection activeCell="B44" sqref="B44"/>
    </sheetView>
  </sheetViews>
  <sheetFormatPr defaultColWidth="9.23076923076923" defaultRowHeight="16.5" outlineLevelCol="4"/>
  <cols>
    <col min="1" max="1" width="25.7923076923077" style="1" customWidth="1"/>
    <col min="2" max="2" width="29.0461538461538" style="1" customWidth="1"/>
    <col min="3" max="3" width="31.0384615384615" style="1" customWidth="1"/>
    <col min="4" max="4" width="28.9538461538462" style="1" customWidth="1"/>
    <col min="5" max="5" width="24.7538461538462" style="1" customWidth="1"/>
  </cols>
  <sheetData>
    <row r="1" ht="21.5" customHeight="1" spans="1:5">
      <c r="A1" s="59" t="s">
        <v>34</v>
      </c>
      <c r="B1" s="60" t="s">
        <v>35</v>
      </c>
      <c r="C1" s="60" t="s">
        <v>36</v>
      </c>
      <c r="D1" s="60" t="s">
        <v>37</v>
      </c>
      <c r="E1" s="60" t="s">
        <v>38</v>
      </c>
    </row>
    <row r="2" ht="34" customHeight="1" spans="1:5">
      <c r="A2" s="61" t="s">
        <v>39</v>
      </c>
      <c r="B2" s="62">
        <v>454759</v>
      </c>
      <c r="C2" s="62">
        <v>376832</v>
      </c>
      <c r="D2" s="62">
        <v>16250336</v>
      </c>
      <c r="E2" s="62">
        <v>15990784</v>
      </c>
    </row>
    <row r="3" ht="34" customHeight="1" spans="1:5">
      <c r="A3" s="61" t="s">
        <v>40</v>
      </c>
      <c r="B3" s="62">
        <v>454759</v>
      </c>
      <c r="C3" s="62">
        <v>376832</v>
      </c>
      <c r="D3" s="62">
        <v>16250336</v>
      </c>
      <c r="E3" s="62">
        <v>15990784</v>
      </c>
    </row>
    <row r="4" ht="34" customHeight="1" spans="1:5">
      <c r="A4" s="61" t="s">
        <v>41</v>
      </c>
      <c r="B4" s="62">
        <v>454759</v>
      </c>
      <c r="C4" s="62">
        <v>376832</v>
      </c>
      <c r="D4" s="62">
        <v>16250336</v>
      </c>
      <c r="E4" s="62">
        <v>15990784</v>
      </c>
    </row>
    <row r="5" ht="34" customHeight="1" spans="1:5">
      <c r="A5" s="61" t="s">
        <v>42</v>
      </c>
      <c r="B5" s="62">
        <v>454759</v>
      </c>
      <c r="C5" s="62">
        <v>376832</v>
      </c>
      <c r="D5" s="62">
        <v>16250336</v>
      </c>
      <c r="E5" s="62">
        <v>15990784</v>
      </c>
    </row>
    <row r="6" ht="34" customHeight="1" spans="1:5">
      <c r="A6" s="61" t="s">
        <v>43</v>
      </c>
      <c r="B6" s="62">
        <v>454759</v>
      </c>
      <c r="C6" s="62">
        <v>376832</v>
      </c>
      <c r="D6" s="62">
        <v>16250336</v>
      </c>
      <c r="E6" s="62">
        <v>15990784</v>
      </c>
    </row>
    <row r="7" ht="34" customHeight="1" spans="1:5">
      <c r="A7" s="61" t="s">
        <v>44</v>
      </c>
      <c r="B7" s="62">
        <v>454759</v>
      </c>
      <c r="C7" s="62">
        <v>376832</v>
      </c>
      <c r="D7" s="62">
        <v>16250336</v>
      </c>
      <c r="E7" s="62">
        <v>15990784</v>
      </c>
    </row>
    <row r="12" ht="44" customHeight="1" spans="1:5">
      <c r="E12" s="63" t="s">
        <v>45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zoomScale="85" zoomScaleNormal="85" workbookViewId="0">
      <pane ySplit="3" topLeftCell="A4" activePane="bottomLeft" state="frozen"/>
      <selection/>
      <selection pane="bottomLeft" activeCell="C40" sqref="C40"/>
    </sheetView>
  </sheetViews>
  <sheetFormatPr defaultColWidth="8.30769230769231" defaultRowHeight="16.5" outlineLevelCol="7"/>
  <cols>
    <col min="1" max="6" width="18" style="1" customWidth="1"/>
    <col min="7" max="7" width="20" style="1" customWidth="1"/>
    <col min="8" max="8" width="18" style="1" customWidth="1"/>
  </cols>
  <sheetData>
    <row r="1" ht="24" customHeight="1" spans="1:8">
      <c r="A1" s="31" t="s">
        <v>46</v>
      </c>
      <c r="B1" s="32"/>
      <c r="C1" s="32"/>
      <c r="D1" s="32"/>
      <c r="E1" s="32"/>
      <c r="F1" s="32"/>
      <c r="G1" s="32"/>
      <c r="H1" s="33"/>
    </row>
    <row r="3" spans="1:8">
      <c r="A3" s="41" t="s">
        <v>47</v>
      </c>
      <c r="B3" s="41" t="s">
        <v>48</v>
      </c>
      <c r="C3" s="41" t="s">
        <v>49</v>
      </c>
      <c r="D3" s="41" t="s">
        <v>50</v>
      </c>
      <c r="E3" s="41" t="s">
        <v>51</v>
      </c>
      <c r="F3" s="41" t="s">
        <v>52</v>
      </c>
      <c r="G3" s="41" t="s">
        <v>53</v>
      </c>
      <c r="H3" s="41" t="s">
        <v>54</v>
      </c>
    </row>
    <row r="4" spans="1:8">
      <c r="A4" s="36">
        <v>1000</v>
      </c>
      <c r="B4" s="36">
        <v>1000</v>
      </c>
      <c r="C4" s="36">
        <v>1000</v>
      </c>
      <c r="D4" s="36">
        <v>1000</v>
      </c>
      <c r="E4" s="36">
        <v>1000</v>
      </c>
      <c r="F4" s="36">
        <v>1000</v>
      </c>
      <c r="G4" s="36">
        <v>0</v>
      </c>
      <c r="H4" s="36">
        <v>1000</v>
      </c>
    </row>
    <row r="5" spans="1:8">
      <c r="A5" s="36">
        <v>10000</v>
      </c>
      <c r="B5" s="36">
        <v>100</v>
      </c>
      <c r="C5" s="36">
        <v>10000</v>
      </c>
      <c r="D5" s="36">
        <v>100</v>
      </c>
      <c r="E5" s="36">
        <v>100</v>
      </c>
      <c r="F5" s="36">
        <v>100</v>
      </c>
      <c r="G5" s="36">
        <v>0</v>
      </c>
      <c r="H5" s="36">
        <v>10000</v>
      </c>
    </row>
    <row r="6" spans="1:8">
      <c r="A6" s="36">
        <v>20000</v>
      </c>
      <c r="B6" s="36">
        <v>50</v>
      </c>
      <c r="C6" s="36">
        <v>20000</v>
      </c>
      <c r="D6" s="36">
        <v>50</v>
      </c>
      <c r="E6" s="36">
        <v>50</v>
      </c>
      <c r="F6" s="36">
        <v>50</v>
      </c>
      <c r="G6" s="36">
        <v>0</v>
      </c>
      <c r="H6" s="36">
        <v>20000</v>
      </c>
    </row>
    <row r="7" spans="1:8">
      <c r="A7" s="36">
        <v>50000</v>
      </c>
      <c r="B7" s="36">
        <v>20</v>
      </c>
      <c r="C7" s="36">
        <v>50000</v>
      </c>
      <c r="D7" s="36">
        <v>20</v>
      </c>
      <c r="E7" s="36">
        <v>19</v>
      </c>
      <c r="F7" s="36">
        <v>21</v>
      </c>
      <c r="G7" s="36">
        <v>2</v>
      </c>
      <c r="H7" s="36">
        <v>50000</v>
      </c>
    </row>
    <row r="8" spans="1:8">
      <c r="A8" s="36">
        <v>100000</v>
      </c>
      <c r="B8" s="36">
        <v>10</v>
      </c>
      <c r="C8" s="36">
        <v>100000</v>
      </c>
      <c r="D8" s="36">
        <v>10</v>
      </c>
      <c r="E8" s="36">
        <v>5</v>
      </c>
      <c r="F8" s="36">
        <v>18</v>
      </c>
      <c r="G8" s="36">
        <v>13</v>
      </c>
      <c r="H8" s="36">
        <v>100000</v>
      </c>
    </row>
    <row r="10" ht="24" customHeight="1" spans="1:8">
      <c r="A10" s="31" t="s">
        <v>11</v>
      </c>
      <c r="B10" s="32"/>
      <c r="C10" s="32"/>
      <c r="D10" s="32"/>
      <c r="E10" s="32"/>
      <c r="F10" s="32"/>
      <c r="G10" s="32"/>
      <c r="H10" s="33"/>
    </row>
    <row r="11" ht="38" customHeight="1" spans="1:8">
      <c r="A11" s="25" t="s">
        <v>55</v>
      </c>
      <c r="B11" s="25" t="s">
        <v>56</v>
      </c>
    </row>
    <row r="12" ht="38" customHeight="1" spans="1:8">
      <c r="A12" s="25" t="s">
        <v>57</v>
      </c>
      <c r="B12" s="25" t="s">
        <v>58</v>
      </c>
    </row>
    <row r="13" ht="38" customHeight="1" spans="1:8">
      <c r="A13" s="25" t="s">
        <v>59</v>
      </c>
      <c r="B13" s="25" t="s">
        <v>60</v>
      </c>
    </row>
    <row r="14" ht="38" customHeight="1" spans="1:8">
      <c r="A14" s="25" t="s">
        <v>61</v>
      </c>
      <c r="B14" s="25" t="s">
        <v>62</v>
      </c>
    </row>
    <row r="15" ht="38" customHeight="1" spans="1:8">
      <c r="A15" s="25" t="s">
        <v>63</v>
      </c>
      <c r="B15" s="25" t="s">
        <v>64</v>
      </c>
    </row>
  </sheetData>
  <autoFilter xmlns:etc="http://www.wps.cn/officeDocument/2017/etCustomData" ref="A3:H8" etc:filterBottomFollowUsedRange="0">
    <extLst/>
  </autoFilter>
  <mergeCells count="7">
    <mergeCell ref="A1:H1"/>
    <mergeCell ref="A10:H10"/>
    <mergeCell ref="B11:H11"/>
    <mergeCell ref="B12:H12"/>
    <mergeCell ref="B13:H13"/>
    <mergeCell ref="B14:H14"/>
    <mergeCell ref="B15:H15"/>
  </mergeCells>
  <pageMargins left="0.3" right="0.3" top="0.5" bottom="0.5" header="0.2" footer="0.2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zoomScale="85" zoomScaleNormal="85" workbookViewId="0">
      <selection activeCell="D37" sqref="D37"/>
    </sheetView>
  </sheetViews>
  <sheetFormatPr defaultColWidth="9.23076923076923" defaultRowHeight="16.5" outlineLevelCol="3"/>
  <cols>
    <col min="1" max="1" width="20.6538461538462" style="1" customWidth="1"/>
    <col min="2" max="3" width="18" style="1" customWidth="1"/>
    <col min="4" max="4" width="15" style="1" customWidth="1"/>
  </cols>
  <sheetData>
    <row r="1" ht="24" customHeight="1" spans="1:4">
      <c r="A1" s="31" t="s">
        <v>65</v>
      </c>
      <c r="B1" s="32"/>
      <c r="C1" s="32"/>
      <c r="D1" s="33"/>
    </row>
    <row r="2" ht="49.5" customHeight="1" spans="1:4">
      <c r="A2" s="25" t="s">
        <v>66</v>
      </c>
    </row>
    <row r="3" spans="1:4">
      <c r="A3" s="41" t="s">
        <v>67</v>
      </c>
      <c r="B3" s="41" t="s">
        <v>68</v>
      </c>
      <c r="C3" s="41" t="s">
        <v>69</v>
      </c>
      <c r="D3" s="41" t="s">
        <v>70</v>
      </c>
    </row>
    <row r="4" spans="1:4">
      <c r="A4" s="36">
        <v>50</v>
      </c>
      <c r="B4" s="36">
        <v>99925</v>
      </c>
      <c r="C4" s="36">
        <v>11.45</v>
      </c>
      <c r="D4" s="58">
        <v>0.00073</v>
      </c>
    </row>
    <row r="5" spans="1:4">
      <c r="A5" s="36">
        <v>100</v>
      </c>
      <c r="B5" s="36">
        <v>49995</v>
      </c>
      <c r="C5" s="36">
        <v>12.9</v>
      </c>
      <c r="D5" s="58">
        <v>0.0001</v>
      </c>
    </row>
    <row r="6" spans="1:4">
      <c r="A6" s="36">
        <v>200</v>
      </c>
      <c r="B6" s="36">
        <v>25000</v>
      </c>
      <c r="C6" s="36">
        <v>12.55</v>
      </c>
      <c r="D6" s="58">
        <v>0</v>
      </c>
    </row>
    <row r="7" spans="1:4">
      <c r="A7" s="36">
        <v>500</v>
      </c>
      <c r="B7" s="36">
        <v>10000</v>
      </c>
      <c r="C7" s="36">
        <v>13</v>
      </c>
      <c r="D7" s="58">
        <v>0</v>
      </c>
    </row>
    <row r="8" spans="1:4">
      <c r="A8" s="36">
        <v>1000</v>
      </c>
      <c r="B8" s="36">
        <v>5000</v>
      </c>
      <c r="C8" s="36">
        <v>12</v>
      </c>
      <c r="D8" s="58">
        <v>0</v>
      </c>
    </row>
    <row r="10" ht="32" customHeight="1" spans="1:4">
      <c r="A10" s="37" t="s">
        <v>11</v>
      </c>
      <c r="B10" s="40" t="s">
        <v>71</v>
      </c>
      <c r="C10" s="32"/>
      <c r="D10" s="33"/>
    </row>
  </sheetData>
  <mergeCells count="2">
    <mergeCell ref="A1:D1"/>
    <mergeCell ref="B10:D10"/>
  </mergeCells>
  <pageMargins left="0.3" right="0.3" top="0.5" bottom="0.5" header="0.2" footer="0.2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4"/>
  <sheetViews>
    <sheetView zoomScale="70" zoomScaleNormal="70" workbookViewId="0">
      <selection activeCell="G15" sqref="G15"/>
    </sheetView>
  </sheetViews>
  <sheetFormatPr defaultColWidth="9.23076923076923" defaultRowHeight="16.5"/>
  <cols>
    <col min="1" max="1" width="15.6923076923077" style="1" customWidth="1"/>
    <col min="2" max="2" width="22.3" style="1" customWidth="1"/>
    <col min="3" max="5" width="13.6923076923077" style="1" customWidth="1"/>
    <col min="6" max="6" width="16.6923076923077" style="1" customWidth="1"/>
    <col min="7" max="7" width="13.6923076923077" style="1" customWidth="1"/>
    <col min="8" max="8" width="18.5384615384615" style="1" customWidth="1"/>
    <col min="9" max="9" width="18.6923076923077" style="1" customWidth="1"/>
    <col min="10" max="10" width="32.6923076923077" style="1" customWidth="1"/>
  </cols>
  <sheetData>
    <row r="1" ht="21.5" customHeight="1" spans="1:10">
      <c r="A1" s="31" t="s">
        <v>72</v>
      </c>
      <c r="B1" s="32"/>
      <c r="C1" s="32"/>
      <c r="D1" s="32"/>
      <c r="E1" s="32"/>
      <c r="F1" s="32"/>
      <c r="G1" s="32"/>
      <c r="H1" s="32"/>
      <c r="I1" s="32"/>
      <c r="J1" s="33"/>
    </row>
    <row r="2" spans="1:10">
      <c r="A2"/>
      <c r="B2"/>
      <c r="C2"/>
      <c r="D2"/>
      <c r="E2"/>
      <c r="F2"/>
      <c r="G2"/>
      <c r="H2"/>
      <c r="I2"/>
      <c r="J2"/>
    </row>
    <row r="3" ht="52" customHeight="1" spans="1:10">
      <c r="A3" s="49" t="s">
        <v>73</v>
      </c>
    </row>
    <row r="4" spans="1:10">
      <c r="A4"/>
      <c r="B4"/>
      <c r="C4"/>
      <c r="D4"/>
      <c r="E4"/>
      <c r="F4"/>
      <c r="G4"/>
      <c r="H4"/>
      <c r="I4"/>
      <c r="J4"/>
    </row>
    <row r="5" ht="54" customHeight="1" spans="1:10">
      <c r="A5" s="50" t="s">
        <v>74</v>
      </c>
    </row>
    <row r="6" spans="1:10">
      <c r="A6" s="51" t="s">
        <v>75</v>
      </c>
      <c r="B6" s="51" t="s">
        <v>76</v>
      </c>
      <c r="C6" s="51" t="s">
        <v>77</v>
      </c>
      <c r="D6" s="51" t="s">
        <v>78</v>
      </c>
      <c r="E6" s="51" t="s">
        <v>79</v>
      </c>
      <c r="F6" s="51" t="s">
        <v>80</v>
      </c>
      <c r="G6" s="51" t="s">
        <v>81</v>
      </c>
      <c r="H6" s="51" t="s">
        <v>82</v>
      </c>
      <c r="I6" s="51" t="s">
        <v>83</v>
      </c>
      <c r="J6" s="51" t="s">
        <v>84</v>
      </c>
    </row>
    <row r="7" spans="1:10">
      <c r="A7" s="26">
        <v>1</v>
      </c>
      <c r="B7" s="52">
        <v>0.0208</v>
      </c>
      <c r="C7" s="53">
        <v>48000</v>
      </c>
      <c r="D7" s="54">
        <v>23996.5</v>
      </c>
      <c r="E7" s="54">
        <v>23996.5</v>
      </c>
      <c r="F7" s="26">
        <v>13</v>
      </c>
      <c r="G7" s="26">
        <v>5</v>
      </c>
      <c r="H7" s="26" t="s">
        <v>85</v>
      </c>
      <c r="I7" s="26">
        <v>0</v>
      </c>
      <c r="J7" s="26" t="s">
        <v>86</v>
      </c>
    </row>
    <row r="8" spans="1:10">
      <c r="A8" s="26">
        <v>2</v>
      </c>
      <c r="B8" s="52">
        <v>0.0417</v>
      </c>
      <c r="C8" s="53">
        <v>24000</v>
      </c>
      <c r="D8" s="55">
        <v>46437.8</v>
      </c>
      <c r="E8" s="55">
        <v>46437.8</v>
      </c>
      <c r="F8" s="26">
        <v>7</v>
      </c>
      <c r="G8" s="26">
        <v>5</v>
      </c>
      <c r="H8" s="26" t="s">
        <v>85</v>
      </c>
      <c r="I8" s="26">
        <v>0</v>
      </c>
      <c r="J8" s="26" t="s">
        <v>87</v>
      </c>
    </row>
    <row r="9" spans="1:10">
      <c r="A9" s="26">
        <v>4</v>
      </c>
      <c r="B9" s="52">
        <v>0.0833</v>
      </c>
      <c r="C9" s="53">
        <v>12000</v>
      </c>
      <c r="D9" s="56">
        <v>48024</v>
      </c>
      <c r="E9" s="56">
        <v>48024</v>
      </c>
      <c r="F9" s="26">
        <v>12</v>
      </c>
      <c r="G9" s="26">
        <v>13</v>
      </c>
      <c r="H9" s="26" t="s">
        <v>88</v>
      </c>
      <c r="I9" s="26">
        <v>0</v>
      </c>
      <c r="J9" s="26" t="s">
        <v>89</v>
      </c>
    </row>
    <row r="10" spans="1:10">
      <c r="A10" s="26">
        <v>8</v>
      </c>
      <c r="B10" s="52">
        <v>0.1667</v>
      </c>
      <c r="C10" s="53">
        <v>6000</v>
      </c>
      <c r="D10" s="56">
        <v>48024.3</v>
      </c>
      <c r="E10" s="56">
        <v>48024.3</v>
      </c>
      <c r="F10" s="26">
        <v>16</v>
      </c>
      <c r="G10" s="26">
        <v>42</v>
      </c>
      <c r="H10" s="26" t="s">
        <v>88</v>
      </c>
      <c r="I10" s="26">
        <v>0</v>
      </c>
      <c r="J10" s="26" t="s">
        <v>89</v>
      </c>
    </row>
    <row r="11" spans="1:10">
      <c r="A11" s="26">
        <v>16</v>
      </c>
      <c r="B11" s="52">
        <v>0.3333</v>
      </c>
      <c r="C11" s="53">
        <v>3000</v>
      </c>
      <c r="D11" s="56">
        <v>48049.9</v>
      </c>
      <c r="E11" s="56">
        <v>48049.9</v>
      </c>
      <c r="F11" s="26">
        <v>37</v>
      </c>
      <c r="G11" s="26">
        <v>101</v>
      </c>
      <c r="H11" s="26" t="s">
        <v>88</v>
      </c>
      <c r="I11" s="26">
        <v>0</v>
      </c>
      <c r="J11" s="26" t="s">
        <v>89</v>
      </c>
    </row>
    <row r="12" spans="1:10">
      <c r="A12" s="26">
        <v>32</v>
      </c>
      <c r="B12" s="52">
        <v>0.6667</v>
      </c>
      <c r="C12" s="53">
        <v>1500</v>
      </c>
      <c r="D12" s="56">
        <v>48069.4</v>
      </c>
      <c r="E12" s="56">
        <v>48069.4</v>
      </c>
      <c r="F12" s="26">
        <v>78</v>
      </c>
      <c r="G12" s="26">
        <v>220</v>
      </c>
      <c r="H12" s="26" t="s">
        <v>88</v>
      </c>
      <c r="I12" s="26">
        <v>0</v>
      </c>
      <c r="J12" s="26" t="s">
        <v>89</v>
      </c>
    </row>
    <row r="13" spans="1:10">
      <c r="A13" s="26">
        <v>64</v>
      </c>
      <c r="B13" s="52">
        <v>1.3333</v>
      </c>
      <c r="C13" s="53">
        <v>750</v>
      </c>
      <c r="D13" s="56">
        <v>48041.4</v>
      </c>
      <c r="E13" s="56">
        <v>48041.4</v>
      </c>
      <c r="F13" s="26">
        <v>294</v>
      </c>
      <c r="G13" s="26">
        <v>328</v>
      </c>
      <c r="H13" s="26" t="s">
        <v>88</v>
      </c>
      <c r="I13" s="26">
        <v>0</v>
      </c>
      <c r="J13" s="26" t="s">
        <v>89</v>
      </c>
    </row>
    <row r="14" spans="1:10">
      <c r="A14" s="26">
        <v>120</v>
      </c>
      <c r="B14" s="52">
        <v>2.5</v>
      </c>
      <c r="C14" s="53">
        <v>400</v>
      </c>
      <c r="D14" s="56">
        <v>48032</v>
      </c>
      <c r="E14" s="56">
        <v>48032</v>
      </c>
      <c r="F14" s="26">
        <v>987</v>
      </c>
      <c r="G14" s="26">
        <v>192</v>
      </c>
      <c r="H14" s="26" t="s">
        <v>88</v>
      </c>
      <c r="I14" s="26">
        <v>0</v>
      </c>
      <c r="J14" s="26" t="s">
        <v>89</v>
      </c>
    </row>
    <row r="15" spans="1:10">
      <c r="A15" s="26">
        <v>240</v>
      </c>
      <c r="B15" s="52">
        <v>5</v>
      </c>
      <c r="C15" s="53">
        <v>200</v>
      </c>
      <c r="D15" s="56">
        <v>48039.9</v>
      </c>
      <c r="E15" s="56">
        <v>48039.9</v>
      </c>
      <c r="F15" s="26">
        <v>606</v>
      </c>
      <c r="G15" s="26">
        <v>1773</v>
      </c>
      <c r="H15" s="26" t="s">
        <v>88</v>
      </c>
      <c r="I15" s="26">
        <v>0</v>
      </c>
      <c r="J15" s="26" t="s">
        <v>89</v>
      </c>
    </row>
    <row r="16" spans="1:10">
      <c r="A16" s="26">
        <v>480</v>
      </c>
      <c r="B16" s="52">
        <v>10</v>
      </c>
      <c r="C16" s="53">
        <v>100</v>
      </c>
      <c r="D16" s="56">
        <v>48031.9</v>
      </c>
      <c r="E16" s="56">
        <v>48031.9</v>
      </c>
      <c r="F16" s="26">
        <v>2955</v>
      </c>
      <c r="G16" s="26">
        <v>1824</v>
      </c>
      <c r="H16" s="26" t="s">
        <v>88</v>
      </c>
      <c r="I16" s="26">
        <v>0</v>
      </c>
      <c r="J16" s="26" t="s">
        <v>89</v>
      </c>
    </row>
    <row r="17" ht="21.5" customHeight="1" spans="1:10">
      <c r="A17" s="31" t="s">
        <v>11</v>
      </c>
      <c r="C17"/>
      <c r="D17"/>
      <c r="E17"/>
      <c r="F17"/>
      <c r="G17"/>
      <c r="H17"/>
      <c r="I17"/>
      <c r="J17"/>
    </row>
    <row r="18" ht="66" customHeight="1" spans="1:10">
      <c r="A18" s="57"/>
      <c r="B18" s="25" t="s">
        <v>90</v>
      </c>
      <c r="C18"/>
      <c r="D18"/>
      <c r="E18"/>
      <c r="F18"/>
      <c r="G18"/>
      <c r="H18"/>
      <c r="I18"/>
      <c r="J18"/>
    </row>
    <row r="19" spans="1:10">
      <c r="A19"/>
      <c r="B19"/>
      <c r="C19"/>
      <c r="D19"/>
      <c r="E19"/>
      <c r="F19"/>
      <c r="G19"/>
      <c r="H19"/>
      <c r="I19"/>
      <c r="J19"/>
    </row>
    <row r="20" spans="1:10">
      <c r="A20" s="30" t="s">
        <v>91</v>
      </c>
    </row>
    <row r="21" spans="1:10">
      <c r="A21" s="51" t="s">
        <v>92</v>
      </c>
      <c r="B21" s="51" t="s">
        <v>75</v>
      </c>
      <c r="C21" s="51" t="s">
        <v>93</v>
      </c>
      <c r="D21" s="51" t="s">
        <v>78</v>
      </c>
      <c r="E21" s="51" t="s">
        <v>79</v>
      </c>
      <c r="F21" s="51" t="s">
        <v>94</v>
      </c>
      <c r="G21" s="51" t="s">
        <v>95</v>
      </c>
      <c r="H21" s="51" t="s">
        <v>96</v>
      </c>
      <c r="I21" s="51" t="s">
        <v>97</v>
      </c>
      <c r="J21" s="51" t="s">
        <v>84</v>
      </c>
    </row>
    <row r="22" spans="1:10">
      <c r="A22" s="26">
        <v>16000</v>
      </c>
      <c r="B22" s="26">
        <v>160</v>
      </c>
      <c r="C22" s="26">
        <v>10</v>
      </c>
      <c r="D22" s="56">
        <v>16010</v>
      </c>
      <c r="E22" s="56">
        <v>16010</v>
      </c>
      <c r="F22" s="56">
        <v>62.5</v>
      </c>
      <c r="G22" s="27">
        <v>0.2</v>
      </c>
      <c r="H22" s="26" t="s">
        <v>88</v>
      </c>
      <c r="I22" s="26" t="s">
        <v>98</v>
      </c>
      <c r="J22" s="26" t="s">
        <v>99</v>
      </c>
    </row>
    <row r="23" spans="1:10">
      <c r="A23" s="26">
        <v>32000</v>
      </c>
      <c r="B23" s="26">
        <v>320</v>
      </c>
      <c r="C23" s="26">
        <v>10</v>
      </c>
      <c r="D23" s="56">
        <v>32060</v>
      </c>
      <c r="E23" s="56">
        <v>32060</v>
      </c>
      <c r="F23" s="56">
        <v>125.2</v>
      </c>
      <c r="G23" s="27">
        <v>0.38</v>
      </c>
      <c r="H23" s="26" t="s">
        <v>88</v>
      </c>
      <c r="I23" s="26" t="s">
        <v>98</v>
      </c>
      <c r="J23" s="26" t="s">
        <v>99</v>
      </c>
    </row>
    <row r="24" spans="1:10">
      <c r="A24" s="26">
        <v>44100</v>
      </c>
      <c r="B24" s="26">
        <v>441</v>
      </c>
      <c r="C24" s="26">
        <v>10</v>
      </c>
      <c r="D24" s="56">
        <v>44170</v>
      </c>
      <c r="E24" s="56">
        <v>44170</v>
      </c>
      <c r="F24" s="56">
        <v>172.5</v>
      </c>
      <c r="G24" s="27">
        <v>0.53</v>
      </c>
      <c r="H24" s="26" t="s">
        <v>88</v>
      </c>
      <c r="I24" s="26" t="s">
        <v>98</v>
      </c>
      <c r="J24" s="26" t="s">
        <v>99</v>
      </c>
    </row>
    <row r="25" spans="1:10">
      <c r="A25" s="26">
        <v>48000</v>
      </c>
      <c r="B25" s="26">
        <v>480</v>
      </c>
      <c r="C25" s="26">
        <v>10</v>
      </c>
      <c r="D25" s="56">
        <v>48033</v>
      </c>
      <c r="E25" s="56">
        <v>48033</v>
      </c>
      <c r="F25" s="56">
        <v>187.6</v>
      </c>
      <c r="G25" s="27">
        <v>0.57</v>
      </c>
      <c r="H25" s="26" t="s">
        <v>88</v>
      </c>
      <c r="I25" s="26" t="s">
        <v>98</v>
      </c>
      <c r="J25" s="26" t="s">
        <v>99</v>
      </c>
    </row>
    <row r="26" spans="1:10">
      <c r="A26" s="26">
        <v>88200</v>
      </c>
      <c r="B26" s="26">
        <v>882</v>
      </c>
      <c r="C26" s="26">
        <v>10</v>
      </c>
      <c r="D26" s="56">
        <v>88220</v>
      </c>
      <c r="E26" s="56">
        <v>88220</v>
      </c>
      <c r="F26" s="56">
        <v>344.6</v>
      </c>
      <c r="G26" s="27">
        <v>1.04</v>
      </c>
      <c r="H26" s="26" t="s">
        <v>88</v>
      </c>
      <c r="I26" s="26" t="s">
        <v>98</v>
      </c>
      <c r="J26" s="26" t="s">
        <v>99</v>
      </c>
    </row>
    <row r="27" spans="1:10">
      <c r="A27" s="26">
        <v>96000</v>
      </c>
      <c r="B27" s="26">
        <v>960</v>
      </c>
      <c r="C27" s="26">
        <v>10</v>
      </c>
      <c r="D27" s="56">
        <v>96009</v>
      </c>
      <c r="E27" s="56">
        <v>96009</v>
      </c>
      <c r="F27" s="56">
        <v>375</v>
      </c>
      <c r="G27" s="27">
        <v>1.15</v>
      </c>
      <c r="H27" s="26" t="s">
        <v>88</v>
      </c>
      <c r="I27" s="26" t="s">
        <v>98</v>
      </c>
      <c r="J27" s="26" t="s">
        <v>99</v>
      </c>
    </row>
    <row r="28" spans="1:10">
      <c r="A28" s="26">
        <v>192000</v>
      </c>
      <c r="B28" s="26">
        <v>1920</v>
      </c>
      <c r="C28" s="26">
        <v>10</v>
      </c>
      <c r="D28" s="56" t="s">
        <v>100</v>
      </c>
      <c r="E28" s="56" t="s">
        <v>100</v>
      </c>
      <c r="F28" s="56" t="s">
        <v>100</v>
      </c>
      <c r="G28" s="27" t="s">
        <v>100</v>
      </c>
      <c r="H28" s="26" t="s">
        <v>101</v>
      </c>
      <c r="I28" s="26" t="s">
        <v>101</v>
      </c>
      <c r="J28" s="26" t="s">
        <v>102</v>
      </c>
    </row>
    <row r="29" spans="1:10">
      <c r="A29"/>
      <c r="B29"/>
      <c r="C29"/>
      <c r="D29"/>
      <c r="E29"/>
      <c r="F29"/>
      <c r="G29"/>
      <c r="H29"/>
      <c r="I29"/>
      <c r="J29"/>
    </row>
    <row r="30" spans="1:10">
      <c r="A30"/>
      <c r="B30"/>
      <c r="C30"/>
      <c r="D30"/>
      <c r="E30"/>
      <c r="F30"/>
      <c r="G30"/>
      <c r="H30"/>
      <c r="I30"/>
      <c r="J30"/>
    </row>
    <row r="31" ht="21.5" customHeight="1" spans="1:10">
      <c r="A31" s="31" t="s">
        <v>11</v>
      </c>
      <c r="C31"/>
      <c r="D31"/>
      <c r="E31"/>
      <c r="F31"/>
      <c r="G31"/>
      <c r="H31"/>
      <c r="I31"/>
      <c r="J31"/>
    </row>
    <row r="32" ht="66" customHeight="1" spans="1:10">
      <c r="A32" s="25" t="s">
        <v>103</v>
      </c>
      <c r="B32" s="25" t="s">
        <v>104</v>
      </c>
    </row>
    <row r="33" ht="66" customHeight="1" spans="1:2">
      <c r="A33" s="25" t="s">
        <v>105</v>
      </c>
      <c r="B33" s="25" t="s">
        <v>106</v>
      </c>
    </row>
    <row r="34" ht="82.5" customHeight="1" spans="1:2">
      <c r="A34" s="25" t="s">
        <v>107</v>
      </c>
      <c r="B34" s="25" t="s">
        <v>108</v>
      </c>
    </row>
  </sheetData>
  <mergeCells count="4">
    <mergeCell ref="A1:J1"/>
    <mergeCell ref="A3:J3"/>
    <mergeCell ref="A5:J5"/>
    <mergeCell ref="A20:J20"/>
  </mergeCells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4"/>
  <sheetViews>
    <sheetView zoomScale="85" zoomScaleNormal="85" workbookViewId="0">
      <selection activeCell="C23" sqref="C23"/>
    </sheetView>
  </sheetViews>
  <sheetFormatPr defaultColWidth="9.23076923076923" defaultRowHeight="16.5" outlineLevelCol="6"/>
  <cols>
    <col min="1" max="1" width="36" style="1" customWidth="1"/>
    <col min="2" max="3" width="20" style="1" customWidth="1"/>
    <col min="4" max="4" width="15" style="1" customWidth="1"/>
    <col min="5" max="5" width="18" style="1" customWidth="1"/>
    <col min="7" max="7" width="22.1538461538462" style="1" customWidth="1"/>
  </cols>
  <sheetData>
    <row r="1" ht="25" customHeight="1" spans="1:5">
      <c r="A1" s="2" t="s">
        <v>109</v>
      </c>
      <c r="B1" s="3"/>
      <c r="C1" s="3"/>
      <c r="D1" s="3"/>
      <c r="E1" s="4"/>
    </row>
    <row r="2" ht="22.5" customHeight="1" spans="1:5">
      <c r="A2" s="15" t="s">
        <v>110</v>
      </c>
    </row>
    <row r="3" ht="28" customHeight="1" spans="1:5">
      <c r="A3" s="6" t="s">
        <v>111</v>
      </c>
      <c r="B3" s="3"/>
      <c r="C3" s="3"/>
      <c r="D3" s="3"/>
      <c r="E3" s="4"/>
    </row>
    <row r="4" ht="30" customHeight="1" spans="1:5">
      <c r="A4" s="6" t="s">
        <v>112</v>
      </c>
      <c r="B4" s="6" t="s">
        <v>113</v>
      </c>
      <c r="C4" s="6" t="s">
        <v>114</v>
      </c>
      <c r="D4" s="6" t="s">
        <v>115</v>
      </c>
      <c r="E4" s="6" t="s">
        <v>116</v>
      </c>
    </row>
    <row r="5" spans="1:5">
      <c r="A5" s="48" t="s">
        <v>117</v>
      </c>
      <c r="B5" s="11" t="s">
        <v>118</v>
      </c>
      <c r="C5" s="11" t="s">
        <v>119</v>
      </c>
      <c r="D5" s="11" t="s">
        <v>120</v>
      </c>
      <c r="E5" s="11" t="s">
        <v>120</v>
      </c>
    </row>
    <row r="6" spans="1:5">
      <c r="A6" s="48" t="s">
        <v>121</v>
      </c>
      <c r="B6" s="11" t="s">
        <v>122</v>
      </c>
      <c r="C6" s="11" t="s">
        <v>123</v>
      </c>
      <c r="D6" s="11" t="s">
        <v>120</v>
      </c>
      <c r="E6" s="11" t="s">
        <v>120</v>
      </c>
    </row>
    <row r="7" spans="1:5">
      <c r="A7" s="48" t="s">
        <v>124</v>
      </c>
      <c r="B7" s="11" t="s">
        <v>125</v>
      </c>
      <c r="C7" s="11" t="s">
        <v>126</v>
      </c>
      <c r="D7" s="11" t="s">
        <v>120</v>
      </c>
      <c r="E7" s="11" t="s">
        <v>120</v>
      </c>
    </row>
    <row r="8" spans="1:5">
      <c r="A8" s="48" t="s">
        <v>127</v>
      </c>
      <c r="B8" s="11" t="s">
        <v>100</v>
      </c>
      <c r="C8" s="11" t="s">
        <v>100</v>
      </c>
      <c r="D8" s="11" t="s">
        <v>100</v>
      </c>
      <c r="E8" s="11" t="s">
        <v>100</v>
      </c>
    </row>
    <row r="10" ht="91" customHeight="1"/>
    <row r="12" ht="28" customHeight="1" spans="1:5">
      <c r="A12" s="6" t="s">
        <v>128</v>
      </c>
      <c r="B12" s="3"/>
      <c r="C12" s="3"/>
      <c r="D12" s="3"/>
      <c r="E12" s="4"/>
    </row>
    <row r="13" ht="30" customHeight="1" spans="1:5">
      <c r="A13" s="6" t="s">
        <v>75</v>
      </c>
      <c r="B13" s="6" t="s">
        <v>113</v>
      </c>
      <c r="C13" s="6" t="s">
        <v>114</v>
      </c>
      <c r="D13" s="6" t="s">
        <v>115</v>
      </c>
      <c r="E13" s="6" t="s">
        <v>116</v>
      </c>
    </row>
    <row r="14" spans="1:5">
      <c r="A14" s="48" t="s">
        <v>129</v>
      </c>
      <c r="B14" s="11" t="s">
        <v>130</v>
      </c>
      <c r="C14" s="11" t="s">
        <v>131</v>
      </c>
      <c r="D14" s="11" t="s">
        <v>120</v>
      </c>
      <c r="E14" s="11" t="s">
        <v>120</v>
      </c>
    </row>
    <row r="15" spans="1:5">
      <c r="A15" s="48" t="s">
        <v>132</v>
      </c>
      <c r="B15" s="11" t="s">
        <v>133</v>
      </c>
      <c r="C15" s="11" t="s">
        <v>134</v>
      </c>
      <c r="D15" s="11" t="s">
        <v>120</v>
      </c>
      <c r="E15" s="11" t="s">
        <v>120</v>
      </c>
    </row>
    <row r="16" spans="1:5">
      <c r="A16" s="48" t="s">
        <v>135</v>
      </c>
      <c r="B16" s="11" t="s">
        <v>136</v>
      </c>
      <c r="C16" s="11" t="s">
        <v>137</v>
      </c>
      <c r="D16" s="11" t="s">
        <v>120</v>
      </c>
      <c r="E16" s="11" t="s">
        <v>120</v>
      </c>
    </row>
    <row r="17" spans="1:7">
      <c r="A17" s="48" t="s">
        <v>138</v>
      </c>
      <c r="B17" s="11" t="s">
        <v>139</v>
      </c>
      <c r="C17" s="11" t="s">
        <v>140</v>
      </c>
      <c r="D17" s="11" t="s">
        <v>120</v>
      </c>
      <c r="E17" s="11" t="s">
        <v>120</v>
      </c>
    </row>
    <row r="18" spans="1:7">
      <c r="A18" s="48" t="s">
        <v>141</v>
      </c>
      <c r="B18" s="11" t="s">
        <v>142</v>
      </c>
      <c r="C18" s="11" t="s">
        <v>143</v>
      </c>
      <c r="D18" s="11" t="s">
        <v>120</v>
      </c>
      <c r="E18" s="11" t="s">
        <v>120</v>
      </c>
    </row>
    <row r="19" spans="1:7">
      <c r="A19" s="48" t="s">
        <v>144</v>
      </c>
      <c r="B19" s="11" t="s">
        <v>118</v>
      </c>
      <c r="C19" s="11" t="s">
        <v>119</v>
      </c>
      <c r="D19" s="11" t="s">
        <v>120</v>
      </c>
      <c r="E19" s="11" t="s">
        <v>120</v>
      </c>
    </row>
    <row r="20" spans="1:7">
      <c r="A20" s="48" t="s">
        <v>145</v>
      </c>
      <c r="B20" s="11" t="s">
        <v>146</v>
      </c>
      <c r="C20" s="11" t="s">
        <v>147</v>
      </c>
      <c r="D20" s="11" t="s">
        <v>120</v>
      </c>
      <c r="E20" s="11" t="s">
        <v>120</v>
      </c>
    </row>
    <row r="21" spans="1:7">
      <c r="A21" s="48" t="s">
        <v>148</v>
      </c>
      <c r="B21" s="11" t="s">
        <v>149</v>
      </c>
      <c r="C21" s="11" t="s">
        <v>150</v>
      </c>
      <c r="D21" s="11" t="s">
        <v>120</v>
      </c>
      <c r="E21" s="11" t="s">
        <v>120</v>
      </c>
    </row>
    <row r="23" ht="132" customHeight="1" spans="1:7">
      <c r="G23" s="25"/>
    </row>
    <row r="24" ht="37" customHeight="1" spans="1:7">
      <c r="A24" s="12" t="s">
        <v>11</v>
      </c>
      <c r="B24" s="13" t="s">
        <v>151</v>
      </c>
      <c r="C24" s="3"/>
      <c r="D24" s="3"/>
      <c r="E24" s="4"/>
    </row>
  </sheetData>
  <mergeCells count="5">
    <mergeCell ref="A1:E1"/>
    <mergeCell ref="A2:E2"/>
    <mergeCell ref="A3:E3"/>
    <mergeCell ref="A12:E12"/>
    <mergeCell ref="B24:E24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"/>
  <sheetViews>
    <sheetView zoomScale="115" zoomScaleNormal="115" workbookViewId="0">
      <selection activeCell="E14" sqref="E14"/>
    </sheetView>
  </sheetViews>
  <sheetFormatPr defaultColWidth="9.23076923076923" defaultRowHeight="16.5" outlineLevelCol="2"/>
  <cols>
    <col min="1" max="1" width="26" style="1" customWidth="1"/>
    <col min="2" max="2" width="20" style="1" customWidth="1"/>
    <col min="3" max="3" width="18" style="1" customWidth="1"/>
  </cols>
  <sheetData>
    <row r="1" ht="25" customHeight="1" spans="1:3">
      <c r="A1" s="2" t="s">
        <v>152</v>
      </c>
      <c r="B1" s="3"/>
      <c r="C1" s="4"/>
    </row>
    <row r="2" ht="37" customHeight="1" spans="1:3">
      <c r="A2" s="15" t="s">
        <v>153</v>
      </c>
    </row>
    <row r="4" ht="30" customHeight="1" spans="1:3">
      <c r="A4" s="6" t="s">
        <v>75</v>
      </c>
      <c r="B4" s="6" t="s">
        <v>113</v>
      </c>
      <c r="C4" s="6" t="s">
        <v>154</v>
      </c>
    </row>
    <row r="5" spans="1:3">
      <c r="A5" s="48" t="s">
        <v>129</v>
      </c>
      <c r="B5" s="11" t="s">
        <v>155</v>
      </c>
      <c r="C5" s="11" t="s">
        <v>120</v>
      </c>
    </row>
    <row r="6" spans="1:3">
      <c r="A6" s="48" t="s">
        <v>132</v>
      </c>
      <c r="B6" s="11" t="s">
        <v>133</v>
      </c>
      <c r="C6" s="11" t="s">
        <v>120</v>
      </c>
    </row>
    <row r="7" spans="1:3">
      <c r="A7" s="48" t="s">
        <v>135</v>
      </c>
      <c r="B7" s="11" t="s">
        <v>136</v>
      </c>
      <c r="C7" s="11" t="s">
        <v>120</v>
      </c>
    </row>
    <row r="8" spans="1:3">
      <c r="A8" s="48" t="s">
        <v>138</v>
      </c>
      <c r="B8" s="11" t="s">
        <v>139</v>
      </c>
      <c r="C8" s="11" t="s">
        <v>120</v>
      </c>
    </row>
    <row r="9" spans="1:3">
      <c r="A9" s="48" t="s">
        <v>141</v>
      </c>
      <c r="B9" s="11" t="s">
        <v>156</v>
      </c>
      <c r="C9" s="11" t="s">
        <v>120</v>
      </c>
    </row>
    <row r="10" spans="1:3">
      <c r="A10" s="48" t="s">
        <v>144</v>
      </c>
      <c r="B10" s="11" t="s">
        <v>157</v>
      </c>
      <c r="C10" s="11" t="s">
        <v>120</v>
      </c>
    </row>
    <row r="11" spans="1:3">
      <c r="A11" s="48" t="s">
        <v>145</v>
      </c>
      <c r="B11" s="11" t="s">
        <v>146</v>
      </c>
      <c r="C11" s="11" t="s">
        <v>120</v>
      </c>
    </row>
    <row r="12" spans="1:3">
      <c r="A12" s="48" t="s">
        <v>148</v>
      </c>
      <c r="B12" s="11" t="s">
        <v>149</v>
      </c>
      <c r="C12" s="11" t="s">
        <v>120</v>
      </c>
    </row>
    <row r="14" ht="51.5" customHeight="1" spans="1:3">
      <c r="A14" s="12" t="s">
        <v>11</v>
      </c>
      <c r="B14" s="13" t="s">
        <v>158</v>
      </c>
      <c r="C14" s="4"/>
    </row>
  </sheetData>
  <mergeCells count="3">
    <mergeCell ref="A1:C1"/>
    <mergeCell ref="A2:C2"/>
    <mergeCell ref="B14:C14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"/>
  <sheetViews>
    <sheetView workbookViewId="0">
      <selection activeCell="C14" sqref="A14:E14"/>
    </sheetView>
  </sheetViews>
  <sheetFormatPr defaultColWidth="9.23076923076923" defaultRowHeight="16.5" outlineLevelCol="4"/>
  <cols>
    <col min="1" max="1" width="16" style="1" customWidth="1"/>
    <col min="2" max="3" width="15" style="1" customWidth="1"/>
    <col min="4" max="5" width="13" style="1" customWidth="1"/>
  </cols>
  <sheetData>
    <row r="1" ht="25" customHeight="1" spans="1:5">
      <c r="A1" s="2" t="s">
        <v>159</v>
      </c>
      <c r="B1" s="3"/>
      <c r="C1" s="3"/>
      <c r="D1" s="3"/>
      <c r="E1" s="4"/>
    </row>
    <row r="2" ht="66" customHeight="1" spans="1:5">
      <c r="A2" s="5" t="s">
        <v>160</v>
      </c>
    </row>
    <row r="3" ht="28" customHeight="1" spans="1:5">
      <c r="A3" s="6" t="s">
        <v>161</v>
      </c>
      <c r="B3" s="3"/>
      <c r="C3" s="3"/>
      <c r="D3" s="3"/>
      <c r="E3" s="4"/>
    </row>
    <row r="4" ht="30" customHeight="1" spans="1:5">
      <c r="A4" s="6" t="s">
        <v>75</v>
      </c>
      <c r="B4" s="6" t="s">
        <v>162</v>
      </c>
      <c r="C4" s="6" t="s">
        <v>163</v>
      </c>
      <c r="D4" s="6" t="s">
        <v>164</v>
      </c>
      <c r="E4" s="6" t="s">
        <v>165</v>
      </c>
    </row>
    <row r="5" spans="1:5">
      <c r="A5" s="11" t="s">
        <v>129</v>
      </c>
      <c r="B5" s="11" t="s">
        <v>166</v>
      </c>
      <c r="C5" s="11" t="s">
        <v>167</v>
      </c>
      <c r="D5" s="11" t="s">
        <v>120</v>
      </c>
      <c r="E5" s="11" t="s">
        <v>120</v>
      </c>
    </row>
    <row r="6" spans="1:5">
      <c r="A6" s="11" t="s">
        <v>132</v>
      </c>
      <c r="B6" s="11" t="s">
        <v>168</v>
      </c>
      <c r="C6" s="11" t="s">
        <v>169</v>
      </c>
      <c r="D6" s="11" t="s">
        <v>120</v>
      </c>
      <c r="E6" s="11" t="s">
        <v>120</v>
      </c>
    </row>
    <row r="7" spans="1:5">
      <c r="A7" s="11" t="s">
        <v>135</v>
      </c>
      <c r="B7" s="11" t="s">
        <v>170</v>
      </c>
      <c r="C7" s="11" t="s">
        <v>171</v>
      </c>
      <c r="D7" s="11" t="s">
        <v>120</v>
      </c>
      <c r="E7" s="11" t="s">
        <v>120</v>
      </c>
    </row>
    <row r="8" spans="1:5">
      <c r="A8" s="11" t="s">
        <v>138</v>
      </c>
      <c r="B8" s="11" t="s">
        <v>172</v>
      </c>
      <c r="C8" s="11" t="s">
        <v>173</v>
      </c>
      <c r="D8" s="11" t="s">
        <v>120</v>
      </c>
      <c r="E8" s="11" t="s">
        <v>120</v>
      </c>
    </row>
    <row r="9" spans="1:5">
      <c r="A9" s="11" t="s">
        <v>141</v>
      </c>
      <c r="B9" s="11" t="s">
        <v>174</v>
      </c>
      <c r="C9" s="11" t="s">
        <v>175</v>
      </c>
      <c r="D9" s="11" t="s">
        <v>120</v>
      </c>
      <c r="E9" s="11" t="s">
        <v>120</v>
      </c>
    </row>
    <row r="10" spans="1:5">
      <c r="A10" s="11" t="s">
        <v>144</v>
      </c>
      <c r="B10" s="11" t="s">
        <v>176</v>
      </c>
      <c r="C10" s="11" t="s">
        <v>177</v>
      </c>
      <c r="D10" s="11" t="s">
        <v>120</v>
      </c>
      <c r="E10" s="11" t="s">
        <v>120</v>
      </c>
    </row>
    <row r="11" spans="1:5">
      <c r="A11" s="11" t="s">
        <v>145</v>
      </c>
      <c r="B11" s="11" t="s">
        <v>178</v>
      </c>
      <c r="C11" s="11" t="s">
        <v>179</v>
      </c>
      <c r="D11" s="11" t="s">
        <v>120</v>
      </c>
      <c r="E11" s="11" t="s">
        <v>120</v>
      </c>
    </row>
    <row r="12" spans="1:5">
      <c r="A12" s="11" t="s">
        <v>148</v>
      </c>
      <c r="B12" s="11" t="s">
        <v>180</v>
      </c>
      <c r="C12" s="11" t="s">
        <v>181</v>
      </c>
      <c r="D12" s="11" t="s">
        <v>120</v>
      </c>
      <c r="E12" s="11" t="s">
        <v>120</v>
      </c>
    </row>
    <row r="14" ht="28" customHeight="1" spans="1:5">
      <c r="A14" s="6" t="s">
        <v>182</v>
      </c>
      <c r="B14" s="3"/>
      <c r="C14" s="3"/>
      <c r="D14" s="3"/>
      <c r="E14" s="4"/>
    </row>
    <row r="15" ht="30" customHeight="1" spans="1:5">
      <c r="A15" s="6" t="s">
        <v>183</v>
      </c>
      <c r="B15" s="6" t="s">
        <v>162</v>
      </c>
      <c r="C15" s="6" t="s">
        <v>163</v>
      </c>
      <c r="D15" s="6" t="s">
        <v>164</v>
      </c>
      <c r="E15" s="6" t="s">
        <v>165</v>
      </c>
    </row>
    <row r="16" spans="1:5">
      <c r="A16" s="11" t="s">
        <v>184</v>
      </c>
      <c r="B16" s="3"/>
      <c r="C16" s="3"/>
      <c r="D16" s="3"/>
      <c r="E16" s="4"/>
    </row>
    <row r="18" ht="51.5" customHeight="1" spans="1:5">
      <c r="A18" s="12" t="s">
        <v>11</v>
      </c>
      <c r="B18" s="13" t="s">
        <v>185</v>
      </c>
      <c r="C18" s="3"/>
      <c r="D18" s="3"/>
      <c r="E18" s="4"/>
    </row>
  </sheetData>
  <mergeCells count="6">
    <mergeCell ref="A1:E1"/>
    <mergeCell ref="A2:E2"/>
    <mergeCell ref="A3:E3"/>
    <mergeCell ref="A14:E14"/>
    <mergeCell ref="A16:E16"/>
    <mergeCell ref="B18:E18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D36"/>
  <sheetViews>
    <sheetView zoomScale="85" zoomScaleNormal="85" workbookViewId="0">
      <pane ySplit="1" topLeftCell="A9" activePane="bottomLeft" state="frozenSplit"/>
      <selection/>
      <selection pane="bottomLeft" activeCell="D34" sqref="C34:D34"/>
    </sheetView>
  </sheetViews>
  <sheetFormatPr defaultColWidth="9.23076923076923" defaultRowHeight="20" customHeight="1" outlineLevelCol="3"/>
  <cols>
    <col min="1" max="1" width="14" style="43" customWidth="1"/>
    <col min="2" max="2" width="18" style="43" customWidth="1"/>
    <col min="3" max="4" width="30" style="43" customWidth="1"/>
    <col min="5" max="16384" width="9.23076923076923" style="43" customWidth="1"/>
  </cols>
  <sheetData>
    <row r="1" ht="25" customHeight="1" spans="1:4">
      <c r="A1" s="2" t="s">
        <v>186</v>
      </c>
      <c r="B1" s="3"/>
      <c r="C1" s="3"/>
      <c r="D1" s="4"/>
    </row>
    <row r="2" ht="22.5" customHeight="1" spans="1:4">
      <c r="A2" s="15" t="s">
        <v>187</v>
      </c>
    </row>
    <row r="4" ht="28" customHeight="1" spans="1:4">
      <c r="A4" s="6" t="s">
        <v>188</v>
      </c>
      <c r="B4" s="3"/>
      <c r="C4" s="3"/>
      <c r="D4" s="4"/>
    </row>
    <row r="5" ht="30" customHeight="1" spans="1:4">
      <c r="A5" s="6" t="s">
        <v>189</v>
      </c>
      <c r="B5" s="6" t="s">
        <v>190</v>
      </c>
      <c r="C5" s="6" t="s">
        <v>191</v>
      </c>
      <c r="D5" s="6" t="s">
        <v>192</v>
      </c>
    </row>
    <row r="6" ht="16.5" spans="1:4">
      <c r="A6" s="11" t="s">
        <v>193</v>
      </c>
      <c r="B6" s="44" t="s">
        <v>194</v>
      </c>
      <c r="C6" s="11" t="s">
        <v>195</v>
      </c>
      <c r="D6" s="11" t="s">
        <v>196</v>
      </c>
    </row>
    <row r="7" ht="16.5" spans="1:4">
      <c r="A7" s="11" t="s">
        <v>193</v>
      </c>
      <c r="B7" s="44" t="s">
        <v>197</v>
      </c>
      <c r="C7" s="11" t="s">
        <v>195</v>
      </c>
      <c r="D7" s="11" t="s">
        <v>196</v>
      </c>
    </row>
    <row r="8" ht="16.5" spans="1:4">
      <c r="A8" s="11" t="s">
        <v>193</v>
      </c>
      <c r="B8" s="44" t="s">
        <v>198</v>
      </c>
      <c r="C8" s="11" t="s">
        <v>195</v>
      </c>
      <c r="D8" s="11" t="s">
        <v>196</v>
      </c>
    </row>
    <row r="9" ht="16.5" spans="1:4">
      <c r="A9" s="11" t="s">
        <v>193</v>
      </c>
      <c r="B9" s="44" t="s">
        <v>199</v>
      </c>
      <c r="C9" s="11" t="s">
        <v>195</v>
      </c>
      <c r="D9" s="11" t="s">
        <v>196</v>
      </c>
    </row>
    <row r="10" ht="16.5" spans="1:4">
      <c r="A10" s="11" t="s">
        <v>193</v>
      </c>
      <c r="B10" s="44" t="s">
        <v>200</v>
      </c>
      <c r="C10" s="11" t="s">
        <v>195</v>
      </c>
      <c r="D10" s="11" t="s">
        <v>196</v>
      </c>
    </row>
    <row r="11" ht="16.5" spans="1:4">
      <c r="A11" s="11" t="s">
        <v>193</v>
      </c>
      <c r="B11" s="44" t="s">
        <v>201</v>
      </c>
      <c r="C11" s="11" t="s">
        <v>195</v>
      </c>
      <c r="D11" s="11" t="s">
        <v>196</v>
      </c>
    </row>
    <row r="12" ht="16.5" spans="1:4">
      <c r="A12" s="11" t="s">
        <v>193</v>
      </c>
      <c r="B12" s="44" t="s">
        <v>202</v>
      </c>
      <c r="C12" s="11" t="s">
        <v>195</v>
      </c>
      <c r="D12" s="11" t="s">
        <v>196</v>
      </c>
    </row>
    <row r="13" ht="16.5" spans="1:4">
      <c r="A13" s="11" t="s">
        <v>193</v>
      </c>
      <c r="B13" s="44" t="s">
        <v>203</v>
      </c>
      <c r="C13" s="11" t="s">
        <v>195</v>
      </c>
      <c r="D13" s="11" t="s">
        <v>196</v>
      </c>
    </row>
    <row r="14" ht="16.5" spans="1:4">
      <c r="A14" s="11" t="s">
        <v>193</v>
      </c>
      <c r="B14" s="44" t="s">
        <v>204</v>
      </c>
      <c r="C14" s="11" t="s">
        <v>195</v>
      </c>
      <c r="D14" s="11" t="s">
        <v>196</v>
      </c>
    </row>
    <row r="15" ht="16.5" spans="1:4">
      <c r="A15" s="11" t="s">
        <v>193</v>
      </c>
      <c r="B15" s="44" t="s">
        <v>205</v>
      </c>
      <c r="C15" s="10" t="s">
        <v>206</v>
      </c>
      <c r="D15" s="10" t="s">
        <v>207</v>
      </c>
    </row>
    <row r="16" ht="22.5" customHeight="1" spans="1:4">
      <c r="A16" s="45" t="s">
        <v>208</v>
      </c>
    </row>
    <row r="18" ht="28" customHeight="1" spans="1:4">
      <c r="A18" s="6" t="s">
        <v>209</v>
      </c>
      <c r="B18" s="3"/>
      <c r="C18" s="3"/>
      <c r="D18" s="4"/>
    </row>
    <row r="19" ht="22.5" customHeight="1" spans="1:4">
      <c r="A19" s="15" t="s">
        <v>210</v>
      </c>
    </row>
    <row r="20" ht="30" customHeight="1" spans="1:4">
      <c r="A20" s="6" t="s">
        <v>189</v>
      </c>
      <c r="B20" s="6" t="s">
        <v>190</v>
      </c>
      <c r="C20" s="6" t="s">
        <v>211</v>
      </c>
      <c r="D20" s="6" t="s">
        <v>191</v>
      </c>
    </row>
    <row r="21" ht="16.5" spans="1:4">
      <c r="A21" s="11" t="s">
        <v>212</v>
      </c>
      <c r="B21" s="44" t="s">
        <v>194</v>
      </c>
      <c r="C21" s="44" t="s">
        <v>213</v>
      </c>
      <c r="D21" s="10" t="s">
        <v>214</v>
      </c>
    </row>
    <row r="22" ht="16.5" spans="1:4">
      <c r="A22" s="11" t="s">
        <v>212</v>
      </c>
      <c r="B22" s="44" t="s">
        <v>197</v>
      </c>
      <c r="C22" s="44" t="s">
        <v>213</v>
      </c>
      <c r="D22" s="10" t="s">
        <v>214</v>
      </c>
    </row>
    <row r="23" ht="16.5" spans="1:4">
      <c r="A23" s="11" t="s">
        <v>212</v>
      </c>
      <c r="B23" s="44" t="s">
        <v>198</v>
      </c>
      <c r="C23" s="44" t="s">
        <v>213</v>
      </c>
      <c r="D23" s="10" t="s">
        <v>214</v>
      </c>
    </row>
    <row r="24" ht="16.5" spans="1:4">
      <c r="A24" s="11" t="s">
        <v>212</v>
      </c>
      <c r="B24" s="44" t="s">
        <v>199</v>
      </c>
      <c r="C24" s="44" t="s">
        <v>213</v>
      </c>
      <c r="D24" s="10" t="s">
        <v>214</v>
      </c>
    </row>
    <row r="25" ht="16.5" spans="1:4">
      <c r="A25" s="11" t="s">
        <v>212</v>
      </c>
      <c r="B25" s="44" t="s">
        <v>200</v>
      </c>
      <c r="C25" s="44" t="s">
        <v>213</v>
      </c>
      <c r="D25" s="10" t="s">
        <v>214</v>
      </c>
    </row>
    <row r="26" ht="16.5" spans="1:4">
      <c r="A26" s="11" t="s">
        <v>212</v>
      </c>
      <c r="B26" s="44" t="s">
        <v>201</v>
      </c>
      <c r="C26" s="44" t="s">
        <v>213</v>
      </c>
      <c r="D26" s="10" t="s">
        <v>214</v>
      </c>
    </row>
    <row r="27" ht="16.5" spans="1:4">
      <c r="A27" s="11" t="s">
        <v>212</v>
      </c>
      <c r="B27" s="44" t="s">
        <v>202</v>
      </c>
      <c r="C27" s="44" t="s">
        <v>213</v>
      </c>
      <c r="D27" s="10" t="s">
        <v>214</v>
      </c>
    </row>
    <row r="28" ht="16.5" spans="1:4">
      <c r="A28" s="11" t="s">
        <v>212</v>
      </c>
      <c r="B28" s="44" t="s">
        <v>203</v>
      </c>
      <c r="C28" s="44" t="s">
        <v>213</v>
      </c>
      <c r="D28" s="10" t="s">
        <v>214</v>
      </c>
    </row>
    <row r="29" ht="16.5" spans="1:4">
      <c r="A29" s="11" t="s">
        <v>212</v>
      </c>
      <c r="B29" s="44" t="s">
        <v>204</v>
      </c>
      <c r="C29" s="44" t="s">
        <v>213</v>
      </c>
      <c r="D29" s="10" t="s">
        <v>214</v>
      </c>
    </row>
    <row r="30" ht="28" customHeight="1" spans="1:4">
      <c r="A30" s="46" t="s">
        <v>215</v>
      </c>
    </row>
    <row r="32" ht="24" customHeight="1" spans="1:4">
      <c r="A32" s="12" t="s">
        <v>216</v>
      </c>
      <c r="B32" s="3"/>
      <c r="C32" s="3"/>
      <c r="D32" s="4"/>
    </row>
    <row r="33" ht="24" customHeight="1" spans="1:3">
      <c r="A33" s="47" t="s">
        <v>217</v>
      </c>
      <c r="B33" s="14" t="s">
        <v>218</v>
      </c>
      <c r="C33" s="15" t="s">
        <v>219</v>
      </c>
    </row>
    <row r="34" ht="24" customHeight="1" spans="1:3">
      <c r="A34" s="47" t="s">
        <v>220</v>
      </c>
      <c r="B34" s="14" t="s">
        <v>221</v>
      </c>
      <c r="C34" s="15" t="s">
        <v>222</v>
      </c>
    </row>
    <row r="35" ht="37" customHeight="1" spans="1:3">
      <c r="A35" s="47" t="s">
        <v>223</v>
      </c>
      <c r="B35" s="14" t="s">
        <v>196</v>
      </c>
      <c r="C35" s="15" t="s">
        <v>224</v>
      </c>
    </row>
    <row r="36" ht="24" customHeight="1" spans="1:3">
      <c r="A36" s="47" t="s">
        <v>225</v>
      </c>
      <c r="B36" s="14" t="s">
        <v>196</v>
      </c>
      <c r="C36" s="15" t="s">
        <v>226</v>
      </c>
    </row>
  </sheetData>
  <mergeCells count="12">
    <mergeCell ref="A1:D1"/>
    <mergeCell ref="A2:D2"/>
    <mergeCell ref="A4:D4"/>
    <mergeCell ref="A16:D16"/>
    <mergeCell ref="A18:D18"/>
    <mergeCell ref="A19:D19"/>
    <mergeCell ref="A30:D30"/>
    <mergeCell ref="A32:D32"/>
    <mergeCell ref="C33:D33"/>
    <mergeCell ref="C34:D34"/>
    <mergeCell ref="C35:D35"/>
    <mergeCell ref="C36:D36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8"/>
  <sheetViews>
    <sheetView zoomScale="70" zoomScaleNormal="70" workbookViewId="0">
      <pane ySplit="8" topLeftCell="A19" activePane="bottomLeft" state="frozen"/>
      <selection/>
      <selection pane="bottomLeft" activeCell="A38" sqref="A38:H38"/>
    </sheetView>
  </sheetViews>
  <sheetFormatPr defaultColWidth="9.23076923076923" defaultRowHeight="18" customHeight="1" outlineLevelCol="7"/>
  <cols>
    <col min="1" max="1" width="20" style="1" customWidth="1"/>
    <col min="2" max="2" width="26" style="1" customWidth="1"/>
    <col min="3" max="6" width="15" style="1" customWidth="1"/>
    <col min="7" max="7" width="20" style="1" customWidth="1"/>
    <col min="8" max="8" width="38" style="1" customWidth="1"/>
  </cols>
  <sheetData>
    <row r="1" ht="30" customHeight="1" spans="1:8">
      <c r="A1" s="31" t="s">
        <v>227</v>
      </c>
      <c r="B1" s="32"/>
      <c r="C1" s="32"/>
      <c r="D1" s="32"/>
      <c r="E1" s="32"/>
      <c r="F1" s="32"/>
      <c r="G1" s="32"/>
      <c r="H1" s="33"/>
    </row>
    <row r="2" ht="28" customHeight="1" spans="1:8">
      <c r="A2" s="34" t="s">
        <v>228</v>
      </c>
      <c r="B2" s="32"/>
      <c r="C2" s="32"/>
      <c r="D2" s="32"/>
      <c r="E2" s="32"/>
      <c r="F2" s="32"/>
      <c r="G2" s="32"/>
      <c r="H2" s="33"/>
    </row>
    <row r="3" ht="24" customHeight="1" spans="1:8">
      <c r="A3" s="35" t="s">
        <v>229</v>
      </c>
      <c r="B3" s="3"/>
      <c r="C3" s="3"/>
      <c r="D3" s="3"/>
      <c r="E3" s="3"/>
      <c r="F3" s="3"/>
      <c r="G3" s="3"/>
      <c r="H3" s="4"/>
    </row>
    <row r="4" ht="60" customHeight="1" spans="1:8">
      <c r="A4" s="36" t="s">
        <v>230</v>
      </c>
      <c r="B4" s="32"/>
      <c r="C4" s="32"/>
      <c r="D4" s="32"/>
      <c r="E4" s="32"/>
      <c r="F4" s="32"/>
      <c r="G4" s="32"/>
      <c r="H4" s="33"/>
    </row>
    <row r="5" ht="37" customHeight="1" spans="1:8">
      <c r="A5" s="36" t="s">
        <v>231</v>
      </c>
      <c r="B5" s="32"/>
      <c r="C5" s="32"/>
      <c r="D5" s="32"/>
      <c r="E5" s="32"/>
      <c r="F5" s="32"/>
      <c r="G5" s="32"/>
      <c r="H5" s="33"/>
    </row>
    <row r="6" ht="26" customHeight="1" spans="1:8">
      <c r="A6" s="6" t="s">
        <v>232</v>
      </c>
      <c r="B6" s="3"/>
      <c r="C6" s="3"/>
      <c r="D6" s="3"/>
      <c r="E6" s="3"/>
      <c r="F6" s="3"/>
      <c r="G6" s="3"/>
      <c r="H6" s="4"/>
    </row>
    <row r="7" ht="32" customHeight="1" spans="1:8">
      <c r="A7" s="37" t="s">
        <v>233</v>
      </c>
      <c r="B7" s="32"/>
      <c r="C7" s="32"/>
      <c r="D7" s="32"/>
      <c r="E7" s="32"/>
      <c r="F7" s="32"/>
      <c r="G7" s="32"/>
      <c r="H7" s="33"/>
    </row>
    <row r="8" ht="30" customHeight="1" spans="1:8">
      <c r="A8" s="6" t="s">
        <v>234</v>
      </c>
      <c r="B8" s="6" t="s">
        <v>235</v>
      </c>
      <c r="C8" s="6" t="s">
        <v>236</v>
      </c>
      <c r="D8" s="6" t="s">
        <v>237</v>
      </c>
      <c r="E8" s="6" t="s">
        <v>238</v>
      </c>
      <c r="F8" s="6" t="s">
        <v>239</v>
      </c>
      <c r="G8" s="6" t="s">
        <v>240</v>
      </c>
      <c r="H8" s="6" t="s">
        <v>241</v>
      </c>
    </row>
    <row r="9" ht="32" customHeight="1" spans="1:8">
      <c r="A9" s="38">
        <v>10</v>
      </c>
      <c r="B9" s="38" t="s">
        <v>242</v>
      </c>
      <c r="C9" s="39" t="s">
        <v>100</v>
      </c>
      <c r="D9" s="39" t="s">
        <v>100</v>
      </c>
      <c r="E9" s="39" t="s">
        <v>100</v>
      </c>
      <c r="F9" s="38" t="s">
        <v>243</v>
      </c>
      <c r="G9" s="38" t="s">
        <v>244</v>
      </c>
      <c r="H9" s="38" t="s">
        <v>245</v>
      </c>
    </row>
    <row r="10" ht="26" customHeight="1" spans="1:8">
      <c r="A10" s="38">
        <v>20</v>
      </c>
      <c r="B10" s="38" t="s">
        <v>246</v>
      </c>
      <c r="C10" s="39" t="s">
        <v>100</v>
      </c>
      <c r="D10" s="38">
        <v>694.66</v>
      </c>
      <c r="E10" s="38">
        <v>344963</v>
      </c>
      <c r="F10" s="38" t="s">
        <v>247</v>
      </c>
      <c r="G10" s="38" t="s">
        <v>248</v>
      </c>
      <c r="H10" s="38" t="s">
        <v>249</v>
      </c>
    </row>
    <row r="11" ht="26" customHeight="1" spans="1:8">
      <c r="A11" s="38">
        <v>40</v>
      </c>
      <c r="B11" s="38" t="s">
        <v>250</v>
      </c>
      <c r="C11" s="38">
        <v>3693</v>
      </c>
      <c r="D11" s="38">
        <v>339.4</v>
      </c>
      <c r="E11" s="38">
        <v>312707</v>
      </c>
      <c r="F11" s="38" t="s">
        <v>251</v>
      </c>
      <c r="G11" s="38" t="s">
        <v>248</v>
      </c>
      <c r="H11" s="38" t="s">
        <v>252</v>
      </c>
    </row>
    <row r="12" ht="26" customHeight="1" spans="1:8">
      <c r="A12" s="38">
        <v>80</v>
      </c>
      <c r="B12" s="38" t="s">
        <v>253</v>
      </c>
      <c r="C12" s="38">
        <v>7121</v>
      </c>
      <c r="D12" s="38">
        <v>174</v>
      </c>
      <c r="E12" s="38">
        <v>248195</v>
      </c>
      <c r="F12" s="38" t="s">
        <v>251</v>
      </c>
      <c r="G12" s="38" t="s">
        <v>254</v>
      </c>
      <c r="H12" s="38" t="s">
        <v>252</v>
      </c>
    </row>
    <row r="13" ht="26" customHeight="1" spans="1:8">
      <c r="A13" s="38">
        <v>160</v>
      </c>
      <c r="B13" s="38" t="s">
        <v>255</v>
      </c>
      <c r="C13" s="38">
        <v>14133</v>
      </c>
      <c r="D13" s="38">
        <v>87</v>
      </c>
      <c r="E13" s="38">
        <v>119171</v>
      </c>
      <c r="F13" s="38" t="s">
        <v>251</v>
      </c>
      <c r="G13" s="38" t="s">
        <v>256</v>
      </c>
      <c r="H13" s="38" t="s">
        <v>257</v>
      </c>
    </row>
    <row r="14" ht="32" customHeight="1" spans="1:8">
      <c r="A14" s="38">
        <v>240</v>
      </c>
      <c r="B14" s="38" t="s">
        <v>258</v>
      </c>
      <c r="C14" s="39" t="s">
        <v>100</v>
      </c>
      <c r="D14" s="39" t="s">
        <v>100</v>
      </c>
      <c r="E14" s="39" t="s">
        <v>100</v>
      </c>
      <c r="F14" s="38" t="s">
        <v>259</v>
      </c>
      <c r="G14" s="38" t="s">
        <v>244</v>
      </c>
      <c r="H14" s="38" t="s">
        <v>260</v>
      </c>
    </row>
    <row r="15" ht="40" customHeight="1" spans="1:8">
      <c r="A15" s="40" t="s">
        <v>261</v>
      </c>
      <c r="B15" s="32"/>
      <c r="C15" s="32"/>
      <c r="D15" s="32"/>
      <c r="E15" s="32"/>
      <c r="F15" s="32"/>
      <c r="G15" s="32"/>
      <c r="H15" s="33"/>
    </row>
    <row r="17" ht="26" customHeight="1" spans="1:8">
      <c r="A17" s="6" t="s">
        <v>262</v>
      </c>
      <c r="B17" s="3"/>
      <c r="C17" s="3"/>
      <c r="D17" s="3"/>
      <c r="E17" s="3"/>
      <c r="F17" s="3"/>
      <c r="G17" s="3"/>
      <c r="H17" s="4"/>
    </row>
    <row r="18" ht="44" customHeight="1" spans="1:8">
      <c r="A18" s="40" t="s">
        <v>263</v>
      </c>
      <c r="B18" s="32"/>
      <c r="C18" s="32"/>
      <c r="D18" s="32"/>
      <c r="E18" s="32"/>
      <c r="F18" s="32"/>
      <c r="G18" s="32"/>
      <c r="H18" s="33"/>
    </row>
    <row r="19" ht="28" customHeight="1" spans="1:8">
      <c r="A19" s="40" t="s">
        <v>264</v>
      </c>
      <c r="B19" s="32"/>
      <c r="C19" s="32"/>
      <c r="D19" s="32"/>
      <c r="E19" s="32"/>
      <c r="F19" s="32"/>
      <c r="G19" s="32"/>
      <c r="H19" s="33"/>
    </row>
    <row r="21" ht="26" customHeight="1" spans="1:8">
      <c r="A21" s="6" t="s">
        <v>265</v>
      </c>
      <c r="B21" s="3"/>
      <c r="C21" s="3"/>
      <c r="D21" s="3"/>
      <c r="E21" s="3"/>
      <c r="F21" s="3"/>
      <c r="G21" s="3"/>
      <c r="H21" s="4"/>
    </row>
    <row r="22" ht="32" customHeight="1" spans="1:8">
      <c r="A22" s="37" t="s">
        <v>266</v>
      </c>
      <c r="B22" s="32"/>
      <c r="C22" s="32"/>
      <c r="D22" s="32"/>
      <c r="E22" s="32"/>
      <c r="F22" s="32"/>
      <c r="G22" s="32"/>
      <c r="H22" s="33"/>
    </row>
    <row r="23" ht="30" customHeight="1" spans="1:8">
      <c r="A23" s="6" t="s">
        <v>234</v>
      </c>
      <c r="B23" s="6" t="s">
        <v>267</v>
      </c>
      <c r="C23" s="6" t="s">
        <v>236</v>
      </c>
      <c r="D23" s="6" t="s">
        <v>237</v>
      </c>
      <c r="E23" s="6" t="s">
        <v>238</v>
      </c>
      <c r="F23" s="6" t="s">
        <v>239</v>
      </c>
      <c r="G23" s="6" t="s">
        <v>240</v>
      </c>
      <c r="H23" s="6" t="s">
        <v>241</v>
      </c>
    </row>
    <row r="24" ht="28" customHeight="1" spans="1:8">
      <c r="A24" s="38">
        <v>20</v>
      </c>
      <c r="B24" s="38" t="s">
        <v>250</v>
      </c>
      <c r="C24" s="38">
        <v>1849</v>
      </c>
      <c r="D24" s="38">
        <v>688.17</v>
      </c>
      <c r="E24" s="38">
        <v>312703</v>
      </c>
      <c r="F24" s="38" t="s">
        <v>251</v>
      </c>
      <c r="G24" s="38" t="s">
        <v>248</v>
      </c>
      <c r="H24" s="38" t="s">
        <v>268</v>
      </c>
    </row>
    <row r="25" ht="28" customHeight="1" spans="1:8">
      <c r="A25" s="38">
        <v>40</v>
      </c>
      <c r="B25" s="38" t="s">
        <v>253</v>
      </c>
      <c r="C25" s="38">
        <v>3699</v>
      </c>
      <c r="D25" s="38">
        <v>342.52</v>
      </c>
      <c r="E25" s="38">
        <v>248191</v>
      </c>
      <c r="F25" s="38" t="s">
        <v>251</v>
      </c>
      <c r="G25" s="38" t="s">
        <v>254</v>
      </c>
      <c r="H25" s="38" t="s">
        <v>269</v>
      </c>
    </row>
    <row r="26" ht="28" customHeight="1" spans="1:8">
      <c r="A26" s="38">
        <v>80</v>
      </c>
      <c r="B26" s="38" t="s">
        <v>255</v>
      </c>
      <c r="C26" s="38">
        <v>7118</v>
      </c>
      <c r="D26" s="38">
        <v>176.99</v>
      </c>
      <c r="E26" s="38">
        <v>119167</v>
      </c>
      <c r="F26" s="38" t="s">
        <v>251</v>
      </c>
      <c r="G26" s="38" t="s">
        <v>254</v>
      </c>
      <c r="H26" s="38" t="s">
        <v>270</v>
      </c>
    </row>
    <row r="27" ht="28" customHeight="1" spans="1:8">
      <c r="A27" s="38">
        <v>160</v>
      </c>
      <c r="B27" s="38" t="s">
        <v>271</v>
      </c>
      <c r="C27" s="39" t="s">
        <v>100</v>
      </c>
      <c r="D27" s="39" t="s">
        <v>100</v>
      </c>
      <c r="E27" s="39" t="s">
        <v>100</v>
      </c>
      <c r="F27" s="38" t="s">
        <v>259</v>
      </c>
      <c r="G27" s="38" t="s">
        <v>244</v>
      </c>
      <c r="H27" s="38" t="s">
        <v>272</v>
      </c>
    </row>
    <row r="28" ht="40" customHeight="1" spans="1:8">
      <c r="A28" s="40" t="s">
        <v>273</v>
      </c>
      <c r="B28" s="32"/>
      <c r="C28" s="32"/>
      <c r="D28" s="32"/>
      <c r="E28" s="32"/>
      <c r="F28" s="32"/>
      <c r="G28" s="32"/>
      <c r="H28" s="33"/>
    </row>
    <row r="30" ht="26" customHeight="1" spans="1:8">
      <c r="A30" s="6" t="s">
        <v>274</v>
      </c>
      <c r="B30" s="3"/>
      <c r="C30" s="3"/>
      <c r="D30" s="3"/>
      <c r="E30" s="3"/>
      <c r="F30" s="3"/>
      <c r="G30" s="3"/>
      <c r="H30" s="4"/>
    </row>
    <row r="31" ht="36" customHeight="1" spans="1:8">
      <c r="A31" s="37" t="s">
        <v>275</v>
      </c>
      <c r="B31" s="32"/>
      <c r="C31" s="32"/>
      <c r="D31" s="32"/>
      <c r="E31" s="32"/>
      <c r="F31" s="32"/>
      <c r="G31" s="32"/>
      <c r="H31" s="33"/>
    </row>
    <row r="32" ht="38" customHeight="1" spans="1:8">
      <c r="A32" s="41" t="s">
        <v>276</v>
      </c>
      <c r="B32" s="41" t="s">
        <v>277</v>
      </c>
      <c r="C32" s="41" t="s">
        <v>278</v>
      </c>
      <c r="D32" s="41" t="s">
        <v>279</v>
      </c>
      <c r="E32" s="41" t="s">
        <v>239</v>
      </c>
      <c r="F32" s="41" t="s">
        <v>280</v>
      </c>
      <c r="G32" s="41" t="s">
        <v>281</v>
      </c>
      <c r="H32" s="41" t="s">
        <v>241</v>
      </c>
    </row>
    <row r="33" ht="30" customHeight="1" spans="1:8">
      <c r="A33" s="38" t="s">
        <v>282</v>
      </c>
      <c r="B33" s="38" t="s">
        <v>283</v>
      </c>
      <c r="C33" s="38">
        <v>29</v>
      </c>
      <c r="D33" s="38" t="s">
        <v>284</v>
      </c>
      <c r="E33" s="38" t="s">
        <v>251</v>
      </c>
      <c r="F33" s="38" t="s">
        <v>285</v>
      </c>
      <c r="G33" s="38" t="s">
        <v>286</v>
      </c>
      <c r="H33" s="38" t="s">
        <v>287</v>
      </c>
    </row>
    <row r="34" ht="30" customHeight="1" spans="1:8">
      <c r="A34" s="38" t="s">
        <v>288</v>
      </c>
      <c r="B34" s="38" t="s">
        <v>283</v>
      </c>
      <c r="C34" s="38">
        <v>29</v>
      </c>
      <c r="D34" s="38" t="s">
        <v>284</v>
      </c>
      <c r="E34" s="38" t="s">
        <v>251</v>
      </c>
      <c r="F34" s="38" t="s">
        <v>285</v>
      </c>
      <c r="G34" s="38" t="s">
        <v>286</v>
      </c>
      <c r="H34" s="38" t="s">
        <v>287</v>
      </c>
    </row>
    <row r="35" ht="40" customHeight="1" spans="1:8">
      <c r="A35" s="40" t="s">
        <v>289</v>
      </c>
      <c r="B35" s="32"/>
      <c r="C35" s="32"/>
      <c r="D35" s="32"/>
      <c r="E35" s="32"/>
      <c r="F35" s="32"/>
      <c r="G35" s="32"/>
      <c r="H35" s="33"/>
    </row>
    <row r="37" ht="26" customHeight="1" spans="1:8">
      <c r="A37" s="12" t="s">
        <v>290</v>
      </c>
      <c r="B37" s="3"/>
      <c r="C37" s="3"/>
      <c r="D37" s="3"/>
      <c r="E37" s="3"/>
      <c r="F37" s="3"/>
      <c r="G37" s="3"/>
      <c r="H37" s="4"/>
    </row>
    <row r="38" ht="124" customHeight="1" spans="1:8">
      <c r="A38" s="42" t="s">
        <v>291</v>
      </c>
      <c r="B38" s="32"/>
      <c r="C38" s="32"/>
      <c r="D38" s="32"/>
      <c r="E38" s="32"/>
      <c r="F38" s="32"/>
      <c r="G38" s="32"/>
      <c r="H38" s="33"/>
    </row>
  </sheetData>
  <autoFilter xmlns:etc="http://www.wps.cn/officeDocument/2017/etCustomData" ref="A8:H35" etc:filterBottomFollowUsedRange="0">
    <extLst/>
  </autoFilter>
  <mergeCells count="19">
    <mergeCell ref="A1:H1"/>
    <mergeCell ref="A2:H2"/>
    <mergeCell ref="A3:H3"/>
    <mergeCell ref="A4:H4"/>
    <mergeCell ref="A5:H5"/>
    <mergeCell ref="A6:H6"/>
    <mergeCell ref="A7:H7"/>
    <mergeCell ref="A15:H15"/>
    <mergeCell ref="A17:H17"/>
    <mergeCell ref="A18:H18"/>
    <mergeCell ref="A19:H19"/>
    <mergeCell ref="A21:H21"/>
    <mergeCell ref="A22:H22"/>
    <mergeCell ref="A28:H28"/>
    <mergeCell ref="A30:H30"/>
    <mergeCell ref="A31:H31"/>
    <mergeCell ref="A35:H35"/>
    <mergeCell ref="A37:H37"/>
    <mergeCell ref="A38:H38"/>
  </mergeCells>
  <pageMargins left="0.3" right="0.3" top="0.5" bottom="0.5" header="0.2" footer="0.2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3"/>
  <sheetViews>
    <sheetView zoomScale="70" zoomScaleNormal="70" topLeftCell="A7" workbookViewId="0">
      <selection activeCell="D19" sqref="D19"/>
    </sheetView>
  </sheetViews>
  <sheetFormatPr defaultColWidth="9.23076923076923" defaultRowHeight="16.5" outlineLevelCol="7"/>
  <cols>
    <col min="1" max="1" width="16" style="1" customWidth="1"/>
    <col min="2" max="2" width="22" style="1" customWidth="1"/>
    <col min="3" max="4" width="18" style="1" customWidth="1"/>
    <col min="5" max="5" width="20" style="1" customWidth="1"/>
    <col min="6" max="6" width="24" style="1" customWidth="1"/>
    <col min="7" max="8" width="3.69230769230769" style="1" customWidth="1"/>
  </cols>
  <sheetData>
    <row r="1" ht="21.5" customHeight="1" spans="1:8">
      <c r="A1" s="22" t="s">
        <v>292</v>
      </c>
      <c r="B1" s="23"/>
      <c r="C1" s="23"/>
      <c r="D1" s="23"/>
      <c r="E1" s="23"/>
      <c r="F1" s="23"/>
      <c r="G1" s="24"/>
      <c r="H1" s="24"/>
    </row>
    <row r="2" spans="1:8">
      <c r="A2"/>
      <c r="B2"/>
      <c r="C2"/>
      <c r="D2"/>
      <c r="E2"/>
      <c r="F2"/>
      <c r="G2"/>
      <c r="H2"/>
    </row>
    <row r="3" ht="30" customHeight="1" spans="1:8">
      <c r="A3" s="25" t="s">
        <v>293</v>
      </c>
    </row>
    <row r="4" spans="1:8">
      <c r="A4"/>
      <c r="B4"/>
      <c r="C4"/>
      <c r="D4"/>
      <c r="E4"/>
      <c r="F4"/>
      <c r="G4"/>
      <c r="H4"/>
    </row>
    <row r="5" ht="21.5" customHeight="1" spans="1:8">
      <c r="A5" s="6" t="s">
        <v>294</v>
      </c>
      <c r="B5" s="3"/>
      <c r="C5" s="3"/>
      <c r="D5" s="3"/>
      <c r="E5" s="3"/>
      <c r="F5" s="4"/>
      <c r="G5"/>
      <c r="H5"/>
    </row>
    <row r="6" ht="30" customHeight="1" spans="1:8">
      <c r="A6" s="6" t="s">
        <v>295</v>
      </c>
      <c r="B6" s="6" t="s">
        <v>296</v>
      </c>
      <c r="C6" s="6" t="s">
        <v>297</v>
      </c>
      <c r="D6" s="6" t="s">
        <v>298</v>
      </c>
      <c r="E6" s="6" t="s">
        <v>299</v>
      </c>
      <c r="F6" s="6" t="s">
        <v>84</v>
      </c>
      <c r="G6"/>
      <c r="H6"/>
    </row>
    <row r="7" spans="1:8">
      <c r="A7" s="26">
        <v>4</v>
      </c>
      <c r="B7" s="27">
        <v>29.33</v>
      </c>
      <c r="C7" s="27">
        <v>0.647</v>
      </c>
      <c r="D7" s="27"/>
      <c r="E7" s="26" t="s">
        <v>300</v>
      </c>
      <c r="F7" s="26" t="s">
        <v>301</v>
      </c>
      <c r="G7"/>
      <c r="H7"/>
    </row>
    <row r="8" spans="1:8">
      <c r="A8" s="26">
        <v>8</v>
      </c>
      <c r="B8" s="27">
        <v>29.33</v>
      </c>
      <c r="C8" s="27">
        <v>0.637</v>
      </c>
      <c r="D8" s="27">
        <v>0.57</v>
      </c>
      <c r="E8" s="26" t="s">
        <v>302</v>
      </c>
      <c r="F8" s="26" t="s">
        <v>301</v>
      </c>
      <c r="G8"/>
      <c r="H8"/>
    </row>
    <row r="9" spans="1:8">
      <c r="A9" s="26">
        <v>16</v>
      </c>
      <c r="B9" s="27">
        <v>29.2</v>
      </c>
      <c r="C9" s="27">
        <v>0.883</v>
      </c>
      <c r="D9" s="27">
        <v>0.932</v>
      </c>
      <c r="E9" s="26" t="s">
        <v>302</v>
      </c>
      <c r="F9" s="26" t="s">
        <v>301</v>
      </c>
      <c r="G9"/>
      <c r="H9"/>
    </row>
    <row r="10" spans="1:8">
      <c r="A10" s="26">
        <v>32</v>
      </c>
      <c r="B10" s="27">
        <v>17.7</v>
      </c>
      <c r="C10" s="27">
        <v>0.794</v>
      </c>
      <c r="D10" s="27">
        <v>0.996</v>
      </c>
      <c r="E10" s="26" t="s">
        <v>302</v>
      </c>
      <c r="F10" s="26" t="s">
        <v>303</v>
      </c>
      <c r="G10"/>
      <c r="H10"/>
    </row>
    <row r="11" spans="1:8">
      <c r="A11" s="26">
        <v>64</v>
      </c>
      <c r="B11" s="27">
        <v>14.21</v>
      </c>
      <c r="C11" s="27">
        <v>0.863</v>
      </c>
      <c r="D11" s="27">
        <v>0.997</v>
      </c>
      <c r="E11" s="26" t="s">
        <v>304</v>
      </c>
      <c r="F11" s="26" t="s">
        <v>303</v>
      </c>
      <c r="G11"/>
      <c r="H11"/>
    </row>
    <row r="12" spans="1:8">
      <c r="A12" s="26">
        <v>128</v>
      </c>
      <c r="B12" s="27">
        <v>14.18</v>
      </c>
      <c r="C12" s="27">
        <v>0.92</v>
      </c>
      <c r="D12" s="27">
        <v>0.997</v>
      </c>
      <c r="E12" s="26" t="s">
        <v>305</v>
      </c>
      <c r="F12" s="26" t="s">
        <v>306</v>
      </c>
      <c r="G12"/>
      <c r="H12"/>
    </row>
    <row r="13" spans="1:8">
      <c r="A13" s="26">
        <v>256</v>
      </c>
      <c r="B13" s="27">
        <v>13.23</v>
      </c>
      <c r="C13" s="27">
        <v>0.979</v>
      </c>
      <c r="D13" s="27">
        <v>0.997</v>
      </c>
      <c r="E13" s="26" t="s">
        <v>307</v>
      </c>
      <c r="F13" s="26" t="s">
        <v>306</v>
      </c>
      <c r="G13"/>
      <c r="H13"/>
    </row>
    <row r="14" spans="1:8">
      <c r="A14"/>
      <c r="B14"/>
      <c r="C14"/>
      <c r="D14"/>
      <c r="E14"/>
      <c r="F14"/>
      <c r="G14"/>
      <c r="H14"/>
    </row>
    <row r="15" spans="1:8">
      <c r="A15"/>
      <c r="B15"/>
      <c r="C15"/>
      <c r="D15"/>
      <c r="E15"/>
      <c r="F15"/>
      <c r="G15"/>
      <c r="H15"/>
    </row>
    <row r="16" ht="21.5" customHeight="1" spans="1:8">
      <c r="A16" s="6" t="s">
        <v>308</v>
      </c>
      <c r="B16" s="3"/>
      <c r="C16" s="3"/>
      <c r="D16" s="3"/>
      <c r="E16" s="3"/>
      <c r="F16" s="4"/>
      <c r="G16" s="28"/>
      <c r="H16"/>
    </row>
    <row r="17" ht="30" customHeight="1" spans="1:8">
      <c r="A17" s="6" t="s">
        <v>309</v>
      </c>
      <c r="B17" s="6" t="s">
        <v>310</v>
      </c>
      <c r="C17" s="6" t="s">
        <v>296</v>
      </c>
      <c r="D17" s="6" t="s">
        <v>297</v>
      </c>
      <c r="E17" s="6" t="s">
        <v>298</v>
      </c>
      <c r="F17" s="6" t="s">
        <v>84</v>
      </c>
      <c r="G17"/>
      <c r="H17"/>
    </row>
    <row r="18" spans="1:8">
      <c r="A18" s="26">
        <v>64</v>
      </c>
      <c r="B18" s="27">
        <v>15.625</v>
      </c>
      <c r="C18" s="27">
        <v>15.13</v>
      </c>
      <c r="D18" s="27">
        <v>0.67</v>
      </c>
      <c r="E18" s="27">
        <v>0.677</v>
      </c>
      <c r="F18" s="26" t="s">
        <v>311</v>
      </c>
      <c r="G18"/>
      <c r="H18"/>
    </row>
    <row r="19" spans="1:8">
      <c r="A19" s="26">
        <v>32</v>
      </c>
      <c r="B19" s="27">
        <v>31.25</v>
      </c>
      <c r="C19" s="27">
        <v>28</v>
      </c>
      <c r="D19" s="27">
        <v>0.879</v>
      </c>
      <c r="E19" s="27">
        <v>0.936</v>
      </c>
      <c r="F19" s="26" t="s">
        <v>312</v>
      </c>
      <c r="G19"/>
      <c r="H19"/>
    </row>
    <row r="20" spans="1:8">
      <c r="A20" s="26">
        <v>16</v>
      </c>
      <c r="B20" s="27">
        <v>62.5</v>
      </c>
      <c r="C20" s="27">
        <v>28.2</v>
      </c>
      <c r="D20" s="27">
        <v>0.883</v>
      </c>
      <c r="E20" s="27">
        <v>0.932</v>
      </c>
      <c r="F20" s="26" t="s">
        <v>312</v>
      </c>
      <c r="G20"/>
      <c r="H20"/>
    </row>
    <row r="21" spans="1:8">
      <c r="A21" s="26">
        <v>8</v>
      </c>
      <c r="B21" s="27">
        <v>125</v>
      </c>
      <c r="C21" s="27">
        <v>28.1</v>
      </c>
      <c r="D21" s="27">
        <v>0.873</v>
      </c>
      <c r="E21" s="27">
        <v>0.938</v>
      </c>
      <c r="F21" s="26" t="s">
        <v>312</v>
      </c>
      <c r="G21"/>
      <c r="H21"/>
    </row>
    <row r="22" spans="1:8">
      <c r="A22" s="26">
        <v>4</v>
      </c>
      <c r="B22" s="27">
        <v>250</v>
      </c>
      <c r="C22" s="27">
        <v>27.86</v>
      </c>
      <c r="D22" s="27">
        <v>0.87</v>
      </c>
      <c r="E22" s="27">
        <v>0.945</v>
      </c>
      <c r="F22" s="26" t="s">
        <v>312</v>
      </c>
      <c r="G22"/>
      <c r="H22"/>
    </row>
    <row r="23" ht="33" customHeight="1" spans="1:8">
      <c r="A23" s="26">
        <v>1</v>
      </c>
      <c r="B23" s="27">
        <v>1000</v>
      </c>
      <c r="C23" s="27">
        <v>27.79</v>
      </c>
      <c r="D23" s="27">
        <v>0.87</v>
      </c>
      <c r="E23" s="27">
        <v>0.96</v>
      </c>
      <c r="F23" s="29" t="s">
        <v>313</v>
      </c>
      <c r="G23"/>
      <c r="H23"/>
    </row>
    <row r="24" spans="1:8">
      <c r="A24"/>
      <c r="B24"/>
      <c r="C24"/>
      <c r="D24"/>
      <c r="E24"/>
      <c r="F24"/>
      <c r="G24"/>
      <c r="H24"/>
    </row>
    <row r="25" spans="1:8">
      <c r="A25"/>
      <c r="B25"/>
      <c r="C25"/>
      <c r="D25"/>
      <c r="E25"/>
      <c r="F25"/>
      <c r="G25"/>
      <c r="H25"/>
    </row>
    <row r="26" ht="21.5" customHeight="1" spans="1:8">
      <c r="A26" s="12" t="s">
        <v>229</v>
      </c>
      <c r="B26" s="3"/>
      <c r="C26" s="3"/>
      <c r="D26" s="3"/>
      <c r="E26" s="3"/>
      <c r="F26" s="4"/>
      <c r="G26" s="30"/>
      <c r="H26" s="30"/>
    </row>
    <row r="27" ht="30" customHeight="1" spans="1:8">
      <c r="A27" s="14" t="s">
        <v>314</v>
      </c>
      <c r="B27"/>
      <c r="C27"/>
      <c r="D27"/>
      <c r="E27"/>
      <c r="F27"/>
      <c r="G27"/>
      <c r="H27"/>
    </row>
    <row r="28" ht="30" customHeight="1" spans="1:8">
      <c r="A28" s="14" t="s">
        <v>315</v>
      </c>
      <c r="B28"/>
      <c r="C28"/>
      <c r="D28"/>
      <c r="E28"/>
      <c r="F28"/>
      <c r="G28"/>
      <c r="H28"/>
    </row>
    <row r="29" ht="30" customHeight="1" spans="1:8">
      <c r="A29" s="14" t="s">
        <v>316</v>
      </c>
      <c r="B29"/>
      <c r="C29"/>
      <c r="D29"/>
      <c r="E29"/>
      <c r="F29"/>
      <c r="G29"/>
      <c r="H29"/>
    </row>
    <row r="30" ht="30" customHeight="1" spans="1:8">
      <c r="A30" s="14" t="s">
        <v>317</v>
      </c>
      <c r="B30"/>
      <c r="C30"/>
      <c r="D30"/>
      <c r="E30"/>
      <c r="F30"/>
      <c r="G30"/>
      <c r="H30"/>
    </row>
    <row r="31" spans="1:8">
      <c r="A31"/>
      <c r="B31"/>
      <c r="C31"/>
      <c r="D31"/>
      <c r="E31"/>
      <c r="F31"/>
      <c r="G31"/>
      <c r="H31"/>
    </row>
    <row r="33" ht="24" customHeight="1" spans="1:1">
      <c r="A33" s="14" t="s">
        <v>318</v>
      </c>
    </row>
  </sheetData>
  <mergeCells count="6">
    <mergeCell ref="A1:F1"/>
    <mergeCell ref="A3:H3"/>
    <mergeCell ref="A5:F5"/>
    <mergeCell ref="A16:F16"/>
    <mergeCell ref="A26:F26"/>
    <mergeCell ref="A33:F33"/>
  </mergeCells>
  <pageMargins left="0.75" right="0.75" top="1" bottom="1" header="0.5" footer="0.5"/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"/>
  <sheetViews>
    <sheetView workbookViewId="0">
      <selection activeCell="F21" sqref="F21"/>
    </sheetView>
  </sheetViews>
  <sheetFormatPr defaultColWidth="9.23076923076923" defaultRowHeight="16.5" outlineLevelCol="5"/>
  <cols>
    <col min="1" max="1" width="22" style="1" customWidth="1"/>
    <col min="2" max="2" width="11" style="1" customWidth="1"/>
    <col min="3" max="4" width="13" style="1" customWidth="1"/>
    <col min="5" max="5" width="18" style="1" customWidth="1"/>
    <col min="6" max="6" width="22" style="1" customWidth="1"/>
    <col min="7" max="7" width="16" style="1" customWidth="1"/>
  </cols>
  <sheetData>
    <row r="1" ht="25" customHeight="1" spans="1:6">
      <c r="A1" s="2" t="s">
        <v>319</v>
      </c>
      <c r="B1" s="3"/>
      <c r="C1" s="3"/>
      <c r="D1" s="3"/>
      <c r="E1" s="3"/>
      <c r="F1" s="4"/>
    </row>
    <row r="2" ht="51.5" customHeight="1" spans="1:6">
      <c r="A2" s="19" t="s">
        <v>320</v>
      </c>
      <c r="B2" s="20"/>
      <c r="C2" s="20"/>
      <c r="D2" s="20"/>
      <c r="E2" s="20"/>
      <c r="F2" s="21"/>
    </row>
    <row r="3" ht="30" customHeight="1" spans="1:6">
      <c r="A3" s="6" t="s">
        <v>321</v>
      </c>
      <c r="B3" s="6" t="s">
        <v>322</v>
      </c>
      <c r="C3" s="6" t="s">
        <v>323</v>
      </c>
      <c r="D3" s="6" t="s">
        <v>324</v>
      </c>
      <c r="E3" s="6" t="s">
        <v>325</v>
      </c>
      <c r="F3" s="6" t="s">
        <v>326</v>
      </c>
    </row>
    <row r="4" spans="1:6">
      <c r="A4" s="11" t="s">
        <v>327</v>
      </c>
      <c r="B4" s="11" t="s">
        <v>328</v>
      </c>
      <c r="C4" s="11" t="s">
        <v>329</v>
      </c>
      <c r="D4" s="11" t="s">
        <v>330</v>
      </c>
      <c r="E4" s="11" t="s">
        <v>331</v>
      </c>
      <c r="F4" s="11" t="s">
        <v>331</v>
      </c>
    </row>
    <row r="5" spans="1:6">
      <c r="A5" s="11" t="s">
        <v>332</v>
      </c>
      <c r="B5" s="11" t="s">
        <v>328</v>
      </c>
      <c r="C5" s="11" t="s">
        <v>329</v>
      </c>
      <c r="D5" s="11" t="s">
        <v>330</v>
      </c>
      <c r="E5" s="11" t="s">
        <v>331</v>
      </c>
      <c r="F5" s="11" t="s">
        <v>331</v>
      </c>
    </row>
    <row r="6" spans="1:6">
      <c r="A6" s="11" t="s">
        <v>129</v>
      </c>
      <c r="B6" s="11" t="s">
        <v>328</v>
      </c>
      <c r="C6" s="11" t="s">
        <v>329</v>
      </c>
      <c r="D6" s="11" t="s">
        <v>330</v>
      </c>
      <c r="E6" s="11" t="s">
        <v>331</v>
      </c>
      <c r="F6" s="11" t="s">
        <v>331</v>
      </c>
    </row>
    <row r="7" spans="1:6">
      <c r="A7" s="11" t="s">
        <v>132</v>
      </c>
      <c r="B7" s="11" t="s">
        <v>328</v>
      </c>
      <c r="C7" s="11" t="s">
        <v>329</v>
      </c>
      <c r="D7" s="11" t="s">
        <v>330</v>
      </c>
      <c r="E7" s="11" t="s">
        <v>331</v>
      </c>
      <c r="F7" s="11" t="s">
        <v>331</v>
      </c>
    </row>
    <row r="8" spans="1:6">
      <c r="A8" s="11" t="s">
        <v>135</v>
      </c>
      <c r="B8" s="11" t="s">
        <v>328</v>
      </c>
      <c r="C8" s="11" t="s">
        <v>329</v>
      </c>
      <c r="D8" s="11" t="s">
        <v>330</v>
      </c>
      <c r="E8" s="11" t="s">
        <v>331</v>
      </c>
      <c r="F8" s="11" t="s">
        <v>331</v>
      </c>
    </row>
    <row r="13" ht="28" customHeight="1" spans="1:6">
      <c r="A13" s="6" t="s">
        <v>333</v>
      </c>
      <c r="B13" s="3"/>
      <c r="C13" s="3"/>
      <c r="D13" s="3"/>
      <c r="E13" s="3"/>
      <c r="F13" s="4"/>
    </row>
    <row r="14" ht="30" customHeight="1" spans="1:6">
      <c r="A14" s="6" t="s">
        <v>334</v>
      </c>
      <c r="B14" s="6" t="s">
        <v>322</v>
      </c>
      <c r="C14" s="6" t="s">
        <v>323</v>
      </c>
      <c r="D14" s="6" t="s">
        <v>324</v>
      </c>
      <c r="E14" s="6" t="s">
        <v>325</v>
      </c>
      <c r="F14" s="6" t="s">
        <v>326</v>
      </c>
    </row>
    <row r="15" spans="1:6">
      <c r="A15" s="11" t="s">
        <v>335</v>
      </c>
      <c r="B15" s="11" t="s">
        <v>328</v>
      </c>
      <c r="C15" s="11" t="s">
        <v>329</v>
      </c>
      <c r="D15" s="11" t="s">
        <v>330</v>
      </c>
      <c r="E15" s="11" t="s">
        <v>331</v>
      </c>
      <c r="F15" s="11" t="s">
        <v>331</v>
      </c>
    </row>
    <row r="16" spans="1:6">
      <c r="A16" s="11" t="s">
        <v>336</v>
      </c>
      <c r="B16" s="11" t="s">
        <v>328</v>
      </c>
      <c r="C16" s="11" t="s">
        <v>329</v>
      </c>
      <c r="D16" s="11" t="s">
        <v>330</v>
      </c>
      <c r="E16" s="11" t="s">
        <v>331</v>
      </c>
      <c r="F16" s="11" t="s">
        <v>331</v>
      </c>
    </row>
    <row r="17" spans="1:6">
      <c r="A17" s="11" t="s">
        <v>337</v>
      </c>
      <c r="B17" s="11" t="s">
        <v>328</v>
      </c>
      <c r="C17" s="11" t="s">
        <v>329</v>
      </c>
      <c r="D17" s="11" t="s">
        <v>330</v>
      </c>
      <c r="E17" s="11" t="s">
        <v>331</v>
      </c>
      <c r="F17" s="11" t="s">
        <v>331</v>
      </c>
    </row>
    <row r="19" ht="37" customHeight="1" spans="1:6">
      <c r="A19" s="12" t="s">
        <v>11</v>
      </c>
      <c r="B19" s="13" t="s">
        <v>338</v>
      </c>
      <c r="C19" s="3"/>
      <c r="D19" s="3"/>
      <c r="E19" s="3"/>
      <c r="F19" s="4"/>
    </row>
  </sheetData>
  <mergeCells count="4">
    <mergeCell ref="A1:F1"/>
    <mergeCell ref="A2:F2"/>
    <mergeCell ref="A13:F13"/>
    <mergeCell ref="B19:F19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"/>
  <sheetViews>
    <sheetView workbookViewId="0">
      <selection activeCell="D26" sqref="D26"/>
    </sheetView>
  </sheetViews>
  <sheetFormatPr defaultColWidth="9.23076923076923" defaultRowHeight="16.5" outlineLevelCol="4"/>
  <cols>
    <col min="1" max="1" width="30" style="1" customWidth="1"/>
    <col min="2" max="3" width="18" style="1" customWidth="1"/>
    <col min="4" max="4" width="15" style="1" customWidth="1"/>
    <col min="5" max="5" width="20" style="1" customWidth="1"/>
  </cols>
  <sheetData>
    <row r="1" ht="25" customHeight="1" spans="1:5">
      <c r="A1" s="2" t="s">
        <v>339</v>
      </c>
      <c r="B1" s="3"/>
      <c r="C1" s="3"/>
      <c r="D1" s="3"/>
      <c r="E1" s="4"/>
    </row>
    <row r="2" ht="22.5" customHeight="1" spans="1:5">
      <c r="A2" s="15" t="s">
        <v>340</v>
      </c>
    </row>
    <row r="3" ht="30" customHeight="1" spans="1:5">
      <c r="A3" s="6" t="s">
        <v>341</v>
      </c>
      <c r="B3" s="6" t="s">
        <v>342</v>
      </c>
      <c r="C3" s="6" t="s">
        <v>343</v>
      </c>
      <c r="D3" s="6" t="s">
        <v>344</v>
      </c>
      <c r="E3" s="6" t="s">
        <v>345</v>
      </c>
    </row>
    <row r="4" spans="1:5">
      <c r="A4" s="11" t="s">
        <v>346</v>
      </c>
      <c r="B4" s="11" t="s">
        <v>347</v>
      </c>
      <c r="C4" s="11" t="s">
        <v>348</v>
      </c>
      <c r="D4" s="11" t="s">
        <v>349</v>
      </c>
      <c r="E4" s="11" t="s">
        <v>350</v>
      </c>
    </row>
    <row r="5" spans="1:5">
      <c r="A5" s="11" t="s">
        <v>351</v>
      </c>
      <c r="B5" s="11" t="s">
        <v>352</v>
      </c>
      <c r="C5" s="11" t="s">
        <v>353</v>
      </c>
      <c r="D5" s="11" t="s">
        <v>354</v>
      </c>
      <c r="E5" s="11" t="s">
        <v>350</v>
      </c>
    </row>
    <row r="6" spans="1:5">
      <c r="A6" s="11" t="s">
        <v>355</v>
      </c>
      <c r="B6" s="11" t="s">
        <v>356</v>
      </c>
      <c r="C6" s="11" t="s">
        <v>357</v>
      </c>
      <c r="D6" s="11" t="s">
        <v>354</v>
      </c>
      <c r="E6" s="11" t="s">
        <v>350</v>
      </c>
    </row>
    <row r="7" spans="1:5">
      <c r="A7" s="11" t="s">
        <v>358</v>
      </c>
      <c r="B7" s="11" t="s">
        <v>359</v>
      </c>
      <c r="C7" s="11" t="s">
        <v>360</v>
      </c>
      <c r="D7" s="11" t="s">
        <v>354</v>
      </c>
      <c r="E7" s="11" t="s">
        <v>350</v>
      </c>
    </row>
    <row r="8" spans="1:5">
      <c r="A8" s="11" t="s">
        <v>361</v>
      </c>
      <c r="B8" s="11" t="s">
        <v>362</v>
      </c>
      <c r="C8" s="11" t="s">
        <v>363</v>
      </c>
      <c r="D8" s="11" t="s">
        <v>364</v>
      </c>
      <c r="E8" s="11" t="s">
        <v>350</v>
      </c>
    </row>
    <row r="9" ht="179" customHeight="1" spans="1:5">
      <c r="A9" s="11" t="s">
        <v>365</v>
      </c>
      <c r="B9" s="11" t="s">
        <v>366</v>
      </c>
      <c r="C9" s="11" t="s">
        <v>367</v>
      </c>
      <c r="D9" s="11" t="s">
        <v>354</v>
      </c>
      <c r="E9" s="11" t="s">
        <v>350</v>
      </c>
    </row>
    <row r="10" ht="66" customHeight="1" spans="1:5">
      <c r="A10" s="12" t="s">
        <v>11</v>
      </c>
      <c r="B10" s="13" t="s">
        <v>368</v>
      </c>
      <c r="C10" s="3"/>
      <c r="D10" s="3"/>
      <c r="E10" s="4"/>
    </row>
    <row r="11" ht="28" customHeight="1" spans="1:5">
      <c r="A11" s="6" t="s">
        <v>369</v>
      </c>
      <c r="B11" s="3"/>
      <c r="C11" s="3"/>
      <c r="D11" s="3"/>
      <c r="E11" s="4"/>
    </row>
    <row r="12" ht="30" customHeight="1" spans="1:5">
      <c r="A12" s="6" t="s">
        <v>370</v>
      </c>
      <c r="B12" s="6" t="s">
        <v>371</v>
      </c>
      <c r="C12" s="6" t="s">
        <v>322</v>
      </c>
      <c r="D12" s="6" t="s">
        <v>372</v>
      </c>
    </row>
    <row r="13" spans="1:5">
      <c r="A13" s="11" t="s">
        <v>373</v>
      </c>
      <c r="B13" s="11" t="s">
        <v>374</v>
      </c>
      <c r="C13" s="11" t="s">
        <v>354</v>
      </c>
      <c r="D13" s="11" t="s">
        <v>375</v>
      </c>
    </row>
    <row r="14" spans="1:5">
      <c r="A14" s="11" t="s">
        <v>376</v>
      </c>
      <c r="B14" s="11" t="s">
        <v>377</v>
      </c>
      <c r="C14" s="11" t="s">
        <v>354</v>
      </c>
      <c r="D14" s="11" t="s">
        <v>375</v>
      </c>
    </row>
    <row r="15" spans="1:5">
      <c r="A15" s="11" t="s">
        <v>378</v>
      </c>
      <c r="B15" s="11" t="s">
        <v>379</v>
      </c>
      <c r="C15" s="11" t="s">
        <v>380</v>
      </c>
      <c r="D15" s="11" t="s">
        <v>375</v>
      </c>
    </row>
    <row r="16" spans="1:5">
      <c r="A16" s="11" t="s">
        <v>381</v>
      </c>
      <c r="B16" s="11" t="s">
        <v>382</v>
      </c>
      <c r="C16" s="11" t="s">
        <v>383</v>
      </c>
      <c r="D16" s="11" t="s">
        <v>384</v>
      </c>
    </row>
    <row r="17" ht="37" customHeight="1" spans="1:5">
      <c r="A17" s="12" t="s">
        <v>11</v>
      </c>
      <c r="B17" s="13" t="s">
        <v>385</v>
      </c>
      <c r="C17" s="3"/>
      <c r="D17" s="3"/>
      <c r="E17" s="4"/>
    </row>
  </sheetData>
  <mergeCells count="5">
    <mergeCell ref="A1:E1"/>
    <mergeCell ref="A2:E2"/>
    <mergeCell ref="B10:E10"/>
    <mergeCell ref="A11:E11"/>
    <mergeCell ref="B17:E17"/>
  </mergeCell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9"/>
  <sheetViews>
    <sheetView topLeftCell="A10" workbookViewId="0">
      <selection activeCell="A39" sqref="$A39:$XFD39"/>
    </sheetView>
  </sheetViews>
  <sheetFormatPr defaultColWidth="9.23076923076923" defaultRowHeight="16.5" outlineLevelCol="4"/>
  <cols>
    <col min="1" max="2" width="16" style="1" customWidth="1"/>
    <col min="3" max="3" width="22" style="1" customWidth="1"/>
    <col min="4" max="5" width="2" style="1" customWidth="1"/>
  </cols>
  <sheetData>
    <row r="1" ht="25" customHeight="1" spans="1:5">
      <c r="A1" s="2" t="s">
        <v>386</v>
      </c>
      <c r="B1" s="3"/>
      <c r="C1" s="3"/>
      <c r="D1" s="3"/>
      <c r="E1" s="4"/>
    </row>
    <row r="2" ht="22.5" customHeight="1" spans="1:5">
      <c r="A2" s="15" t="s">
        <v>387</v>
      </c>
    </row>
    <row r="3" ht="28" customHeight="1" spans="1:5">
      <c r="A3" s="6" t="s">
        <v>388</v>
      </c>
      <c r="B3" s="3"/>
      <c r="C3" s="4"/>
    </row>
    <row r="4" ht="30" customHeight="1" spans="1:5">
      <c r="A4" s="16" t="s">
        <v>389</v>
      </c>
      <c r="B4" s="6" t="s">
        <v>390</v>
      </c>
      <c r="C4" s="6" t="s">
        <v>391</v>
      </c>
    </row>
    <row r="5" spans="1:5">
      <c r="A5" s="11" t="s">
        <v>392</v>
      </c>
      <c r="B5" s="11" t="s">
        <v>393</v>
      </c>
      <c r="C5" s="11">
        <v>0</v>
      </c>
    </row>
    <row r="6" spans="1:5">
      <c r="A6" s="11" t="s">
        <v>394</v>
      </c>
      <c r="B6" s="11" t="s">
        <v>395</v>
      </c>
      <c r="C6" s="11">
        <v>0</v>
      </c>
    </row>
    <row r="7" spans="1:5">
      <c r="A7" s="17" t="s">
        <v>396</v>
      </c>
      <c r="B7" s="11" t="s">
        <v>397</v>
      </c>
      <c r="C7" s="11">
        <v>0</v>
      </c>
    </row>
    <row r="8" spans="1:5">
      <c r="A8" s="17" t="s">
        <v>398</v>
      </c>
      <c r="B8" s="11" t="s">
        <v>399</v>
      </c>
      <c r="C8" s="11">
        <v>0</v>
      </c>
    </row>
    <row r="9" spans="1:5">
      <c r="A9" s="11" t="s">
        <v>400</v>
      </c>
      <c r="B9" s="11" t="s">
        <v>401</v>
      </c>
      <c r="C9" s="11">
        <v>0</v>
      </c>
    </row>
    <row r="10" spans="1:5">
      <c r="A10" s="17" t="s">
        <v>402</v>
      </c>
      <c r="B10" s="11" t="s">
        <v>403</v>
      </c>
      <c r="C10" s="11">
        <v>0</v>
      </c>
    </row>
    <row r="11" spans="1:5">
      <c r="A11" s="17" t="s">
        <v>404</v>
      </c>
      <c r="B11" s="11" t="s">
        <v>405</v>
      </c>
      <c r="C11" s="18">
        <v>11</v>
      </c>
    </row>
    <row r="12" spans="1:5">
      <c r="A12" s="17" t="s">
        <v>406</v>
      </c>
      <c r="B12" s="11" t="s">
        <v>407</v>
      </c>
      <c r="C12" s="11">
        <v>0</v>
      </c>
    </row>
    <row r="13" spans="1:5">
      <c r="A13" s="11" t="s">
        <v>408</v>
      </c>
      <c r="B13" s="11" t="s">
        <v>409</v>
      </c>
      <c r="C13" s="11">
        <v>0</v>
      </c>
    </row>
    <row r="14" spans="1:5">
      <c r="A14"/>
    </row>
    <row r="15" ht="28" customHeight="1" spans="1:5">
      <c r="A15" s="6" t="s">
        <v>410</v>
      </c>
      <c r="B15" s="3"/>
      <c r="C15" s="4"/>
    </row>
    <row r="16" ht="30" customHeight="1" spans="1:5">
      <c r="A16" s="16" t="s">
        <v>389</v>
      </c>
      <c r="B16" s="6" t="s">
        <v>390</v>
      </c>
      <c r="C16" s="6" t="s">
        <v>391</v>
      </c>
    </row>
    <row r="17" spans="1:3">
      <c r="A17" s="11" t="s">
        <v>392</v>
      </c>
      <c r="B17" s="11" t="s">
        <v>411</v>
      </c>
      <c r="C17" s="18">
        <v>16</v>
      </c>
    </row>
    <row r="18" spans="1:3">
      <c r="A18" s="11" t="s">
        <v>394</v>
      </c>
      <c r="B18" s="11" t="s">
        <v>412</v>
      </c>
      <c r="C18" s="11">
        <v>0</v>
      </c>
    </row>
    <row r="19" spans="1:3">
      <c r="A19" s="17" t="s">
        <v>396</v>
      </c>
      <c r="B19" s="11" t="s">
        <v>413</v>
      </c>
      <c r="C19" s="11">
        <v>0</v>
      </c>
    </row>
    <row r="20" spans="1:3">
      <c r="A20" s="17" t="s">
        <v>398</v>
      </c>
      <c r="B20" s="11" t="s">
        <v>414</v>
      </c>
      <c r="C20" s="11">
        <v>0</v>
      </c>
    </row>
    <row r="21" spans="1:3">
      <c r="A21" s="11" t="s">
        <v>400</v>
      </c>
      <c r="B21" s="11" t="s">
        <v>415</v>
      </c>
      <c r="C21" s="11">
        <v>0</v>
      </c>
    </row>
    <row r="22" spans="1:3">
      <c r="A22" s="17" t="s">
        <v>402</v>
      </c>
      <c r="B22" s="11" t="s">
        <v>416</v>
      </c>
      <c r="C22" s="11">
        <v>0</v>
      </c>
    </row>
    <row r="23" spans="1:3">
      <c r="A23" s="17" t="s">
        <v>404</v>
      </c>
      <c r="B23" s="11" t="s">
        <v>417</v>
      </c>
      <c r="C23" s="11">
        <v>0</v>
      </c>
    </row>
    <row r="24" spans="1:3">
      <c r="A24" s="17" t="s">
        <v>406</v>
      </c>
      <c r="B24" s="11" t="s">
        <v>418</v>
      </c>
      <c r="C24" s="11">
        <v>0</v>
      </c>
    </row>
    <row r="25" spans="1:3">
      <c r="A25" s="11" t="s">
        <v>408</v>
      </c>
      <c r="B25" s="11" t="s">
        <v>419</v>
      </c>
      <c r="C25" s="11">
        <v>0</v>
      </c>
    </row>
    <row r="26" spans="1:3">
      <c r="A26"/>
    </row>
    <row r="27" ht="28" customHeight="1" spans="1:3">
      <c r="A27" s="6" t="s">
        <v>420</v>
      </c>
      <c r="B27" s="3"/>
      <c r="C27" s="4"/>
    </row>
    <row r="28" ht="30" customHeight="1" spans="1:3">
      <c r="A28" s="16" t="s">
        <v>389</v>
      </c>
      <c r="B28" s="6" t="s">
        <v>390</v>
      </c>
      <c r="C28" s="6" t="s">
        <v>391</v>
      </c>
    </row>
    <row r="29" spans="1:3">
      <c r="A29" s="11" t="s">
        <v>392</v>
      </c>
      <c r="B29" s="11" t="s">
        <v>421</v>
      </c>
      <c r="C29" s="11">
        <v>0</v>
      </c>
    </row>
    <row r="30" spans="1:3">
      <c r="A30" s="11" t="s">
        <v>394</v>
      </c>
      <c r="B30" s="11" t="s">
        <v>422</v>
      </c>
      <c r="C30" s="11">
        <v>0</v>
      </c>
    </row>
    <row r="31" spans="1:3">
      <c r="A31" s="17" t="s">
        <v>396</v>
      </c>
      <c r="B31" s="11" t="s">
        <v>423</v>
      </c>
      <c r="C31" s="11">
        <v>0</v>
      </c>
    </row>
    <row r="32" spans="1:3">
      <c r="A32" s="17" t="s">
        <v>398</v>
      </c>
      <c r="B32" s="11" t="s">
        <v>424</v>
      </c>
      <c r="C32" s="11">
        <v>0</v>
      </c>
    </row>
    <row r="33" spans="1:5">
      <c r="A33" s="11" t="s">
        <v>400</v>
      </c>
      <c r="B33" s="11" t="s">
        <v>425</v>
      </c>
      <c r="C33" s="11">
        <v>0</v>
      </c>
    </row>
    <row r="34" spans="1:5">
      <c r="A34" s="17" t="s">
        <v>402</v>
      </c>
      <c r="B34" s="11" t="s">
        <v>426</v>
      </c>
      <c r="C34" s="11">
        <v>0</v>
      </c>
    </row>
    <row r="35" spans="1:5">
      <c r="A35" s="17" t="s">
        <v>404</v>
      </c>
      <c r="B35" s="11" t="s">
        <v>427</v>
      </c>
      <c r="C35" s="11">
        <v>0</v>
      </c>
    </row>
    <row r="36" spans="1:5">
      <c r="A36" s="17" t="s">
        <v>406</v>
      </c>
      <c r="B36" s="11" t="s">
        <v>428</v>
      </c>
      <c r="C36" s="11">
        <v>0</v>
      </c>
    </row>
    <row r="37" spans="1:5">
      <c r="A37" s="11" t="s">
        <v>408</v>
      </c>
      <c r="B37" s="11" t="s">
        <v>429</v>
      </c>
      <c r="C37" s="11">
        <v>0</v>
      </c>
    </row>
    <row r="39" ht="99" customHeight="1" spans="1:5">
      <c r="A39" s="12" t="s">
        <v>11</v>
      </c>
      <c r="B39" s="13" t="s">
        <v>430</v>
      </c>
      <c r="C39" s="3"/>
      <c r="D39" s="3"/>
      <c r="E39" s="4"/>
    </row>
  </sheetData>
  <mergeCells count="6">
    <mergeCell ref="A1:E1"/>
    <mergeCell ref="A2:E2"/>
    <mergeCell ref="A3:C3"/>
    <mergeCell ref="A15:C15"/>
    <mergeCell ref="A27:C27"/>
    <mergeCell ref="B39:E39"/>
  </mergeCell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workbookViewId="0">
      <selection activeCell="E28" sqref="E28"/>
    </sheetView>
  </sheetViews>
  <sheetFormatPr defaultColWidth="9.23076923076923" defaultRowHeight="16.5" outlineLevelRow="7" outlineLevelCol="5"/>
  <cols>
    <col min="1" max="5" width="16" style="1" customWidth="1"/>
    <col min="6" max="6" width="28" style="1" customWidth="1"/>
  </cols>
  <sheetData>
    <row r="1" ht="25" customHeight="1" spans="1:6">
      <c r="A1" s="2" t="s">
        <v>431</v>
      </c>
      <c r="B1" s="3"/>
      <c r="C1" s="3"/>
      <c r="D1" s="3"/>
      <c r="E1" s="3"/>
      <c r="F1" s="4"/>
    </row>
    <row r="2" ht="24" customHeight="1" spans="1:6">
      <c r="A2" s="15" t="s">
        <v>432</v>
      </c>
    </row>
    <row r="3" ht="30" customHeight="1" spans="1:6">
      <c r="A3" s="6" t="s">
        <v>433</v>
      </c>
      <c r="B3" s="6" t="s">
        <v>434</v>
      </c>
      <c r="C3" s="6" t="s">
        <v>435</v>
      </c>
      <c r="D3" s="6" t="s">
        <v>436</v>
      </c>
      <c r="E3" s="6" t="s">
        <v>437</v>
      </c>
      <c r="F3" s="6" t="s">
        <v>438</v>
      </c>
    </row>
    <row r="4" spans="1:6">
      <c r="A4" s="11" t="s">
        <v>439</v>
      </c>
      <c r="B4" s="11" t="s">
        <v>440</v>
      </c>
      <c r="C4" s="11" t="s">
        <v>441</v>
      </c>
      <c r="D4" s="11" t="s">
        <v>441</v>
      </c>
      <c r="E4" s="11" t="s">
        <v>441</v>
      </c>
      <c r="F4" s="11" t="s">
        <v>441</v>
      </c>
    </row>
    <row r="5" spans="1:6">
      <c r="A5" s="11" t="s">
        <v>442</v>
      </c>
      <c r="B5" s="11" t="s">
        <v>440</v>
      </c>
      <c r="C5" s="11" t="s">
        <v>441</v>
      </c>
      <c r="D5" s="11" t="s">
        <v>441</v>
      </c>
      <c r="E5" s="11" t="s">
        <v>441</v>
      </c>
      <c r="F5" s="11" t="s">
        <v>441</v>
      </c>
    </row>
    <row r="6" spans="1:6">
      <c r="A6" s="11" t="s">
        <v>443</v>
      </c>
      <c r="B6" s="11" t="s">
        <v>440</v>
      </c>
      <c r="C6" s="11" t="s">
        <v>441</v>
      </c>
      <c r="D6" s="11" t="s">
        <v>441</v>
      </c>
      <c r="E6" s="11" t="s">
        <v>441</v>
      </c>
      <c r="F6" s="11" t="s">
        <v>441</v>
      </c>
    </row>
    <row r="8" ht="30" customHeight="1" spans="1:6">
      <c r="A8" s="12" t="s">
        <v>11</v>
      </c>
      <c r="B8" s="13" t="s">
        <v>444</v>
      </c>
      <c r="C8" s="3"/>
      <c r="D8" s="3"/>
      <c r="E8" s="3"/>
      <c r="F8" s="4"/>
    </row>
  </sheetData>
  <mergeCells count="3">
    <mergeCell ref="A1:F1"/>
    <mergeCell ref="A2:F2"/>
    <mergeCell ref="B8:F8"/>
  </mergeCells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tabSelected="1" workbookViewId="0">
      <selection activeCell="F28" sqref="F28"/>
    </sheetView>
  </sheetViews>
  <sheetFormatPr defaultColWidth="9.23076923076923" defaultRowHeight="16.5" outlineLevelCol="4"/>
  <cols>
    <col min="1" max="1" width="14" style="1" customWidth="1"/>
    <col min="2" max="2" width="26" style="1" customWidth="1"/>
    <col min="3" max="3" width="28" style="1" customWidth="1"/>
    <col min="4" max="4" width="4" style="1" customWidth="1"/>
    <col min="5" max="5" width="10" style="1" customWidth="1"/>
  </cols>
  <sheetData>
    <row r="1" ht="25" customHeight="1" spans="1:5">
      <c r="A1" s="2" t="s">
        <v>445</v>
      </c>
      <c r="B1" s="3"/>
      <c r="C1" s="3"/>
      <c r="D1" s="4"/>
    </row>
    <row r="2" ht="48" customHeight="1" spans="1:5">
      <c r="A2" s="5" t="s">
        <v>446</v>
      </c>
    </row>
    <row r="3" ht="30" customHeight="1" spans="1:5">
      <c r="A3" s="6" t="s">
        <v>447</v>
      </c>
      <c r="B3" s="6" t="s">
        <v>448</v>
      </c>
      <c r="C3" s="6" t="s">
        <v>449</v>
      </c>
    </row>
    <row r="4" spans="1:5">
      <c r="A4" s="7">
        <v>0.1</v>
      </c>
      <c r="B4" s="8" t="s">
        <v>450</v>
      </c>
      <c r="C4" s="8" t="s">
        <v>451</v>
      </c>
    </row>
    <row r="5" spans="1:5">
      <c r="A5" s="7">
        <v>0.2</v>
      </c>
      <c r="B5" s="8" t="s">
        <v>450</v>
      </c>
      <c r="C5" s="8" t="s">
        <v>452</v>
      </c>
    </row>
    <row r="6" spans="1:5">
      <c r="A6" s="7">
        <v>0.4</v>
      </c>
      <c r="B6" s="8" t="s">
        <v>453</v>
      </c>
      <c r="C6" s="8" t="s">
        <v>454</v>
      </c>
    </row>
    <row r="7" spans="1:5">
      <c r="A7" s="9">
        <v>0.6</v>
      </c>
      <c r="B7" s="10" t="s">
        <v>455</v>
      </c>
      <c r="C7" s="8" t="s">
        <v>456</v>
      </c>
    </row>
    <row r="8" ht="17" customHeight="1" spans="1:5">
      <c r="A8" s="7">
        <v>0.9</v>
      </c>
      <c r="B8" s="11" t="s">
        <v>457</v>
      </c>
      <c r="C8" s="11" t="s">
        <v>458</v>
      </c>
    </row>
    <row r="10" ht="66" customHeight="1" spans="1:5">
      <c r="A10" s="12" t="s">
        <v>11</v>
      </c>
      <c r="B10" s="13" t="s">
        <v>459</v>
      </c>
      <c r="C10" s="3"/>
      <c r="D10" s="3"/>
      <c r="E10" s="4"/>
    </row>
    <row r="13" ht="37" customHeight="1" spans="1:5">
      <c r="B13" s="14" t="s">
        <v>460</v>
      </c>
      <c r="C13" s="15" t="s">
        <v>461</v>
      </c>
    </row>
    <row r="14" ht="37" customHeight="1" spans="1:5">
      <c r="B14" s="14" t="s">
        <v>462</v>
      </c>
      <c r="C14" s="15" t="s">
        <v>463</v>
      </c>
    </row>
  </sheetData>
  <mergeCells count="5">
    <mergeCell ref="A1:D1"/>
    <mergeCell ref="A2:C2"/>
    <mergeCell ref="B10:E10"/>
    <mergeCell ref="C13:E13"/>
    <mergeCell ref="C14:E1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单任务带宽</vt:lpstr>
      <vt:lpstr>并行访问</vt:lpstr>
      <vt:lpstr>内存压测</vt:lpstr>
      <vt:lpstr>中断测试</vt:lpstr>
      <vt:lpstr>双核间IPC通信</vt:lpstr>
      <vt:lpstr>IIS链路测试</vt:lpstr>
      <vt:lpstr>录音连续性测试</vt:lpstr>
      <vt:lpstr>播放持续性测试</vt:lpstr>
      <vt:lpstr>音频链路全双工测试</vt:lpstr>
      <vt:lpstr>LCD PCLK上限测试</vt:lpstr>
      <vt:lpstr>LCD 缓冲策略</vt:lpstr>
      <vt:lpstr>LVGL负载</vt:lpstr>
      <vt:lpstr>长文本滚动测试</vt:lpstr>
      <vt:lpstr>LCD图像测试 </vt:lpstr>
      <vt:lpstr>触摸精度测试</vt:lpstr>
      <vt:lpstr>触摸连续轨迹测试</vt:lpstr>
      <vt:lpstr>触摸并发性能测试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刘畅</cp:lastModifiedBy>
  <dcterms:created xsi:type="dcterms:W3CDTF">2026-08-31T02:19:00Z</dcterms:created>
  <dcterms:modified xsi:type="dcterms:W3CDTF">2026-09-30T01:24:26Z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8DB41EF92A1845B988068A44E18973DC_12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